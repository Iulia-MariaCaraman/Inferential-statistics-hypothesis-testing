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Downloads\"/>
    </mc:Choice>
  </mc:AlternateContent>
  <bookViews>
    <workbookView xWindow="0" yWindow="0" windowWidth="21570" windowHeight="8055" activeTab="3"/>
  </bookViews>
  <sheets>
    <sheet name="SUBIECT 1" sheetId="1" r:id="rId1"/>
    <sheet name="Aplicatia 1" sheetId="2" r:id="rId2"/>
    <sheet name="Aplicatia 2" sheetId="3" r:id="rId3"/>
    <sheet name="Aplicatia 3" sheetId="4" r:id="rId4"/>
    <sheet name="Bilet 15"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37" i="4" l="1"/>
  <c r="C87" i="4"/>
  <c r="I19" i="4"/>
  <c r="G19" i="4"/>
  <c r="C58" i="3"/>
  <c r="C57" i="3"/>
  <c r="C56" i="3"/>
  <c r="C52" i="3"/>
  <c r="H18" i="2" l="1"/>
  <c r="H17" i="2"/>
</calcChain>
</file>

<file path=xl/sharedStrings.xml><?xml version="1.0" encoding="utf-8"?>
<sst xmlns="http://schemas.openxmlformats.org/spreadsheetml/2006/main" count="794" uniqueCount="160">
  <si>
    <t>Aplicația 1</t>
  </si>
  <si>
    <r>
      <t xml:space="preserve">Din baza de date ”BAC” să se extragă datele respondenților absolvenți din </t>
    </r>
    <r>
      <rPr>
        <b/>
        <sz val="14"/>
        <color rgb="FFFF0000"/>
        <rFont val="Times New Roman"/>
        <family val="1"/>
      </rPr>
      <t>Regiunea București-Ilfov</t>
    </r>
  </si>
  <si>
    <t>La nivelul grupui extras, să se testeze următoarele ipoteze:</t>
  </si>
  <si>
    <t>1,5 p</t>
  </si>
  <si>
    <r>
      <t xml:space="preserve">Ipoteza 1:   </t>
    </r>
    <r>
      <rPr>
        <b/>
        <sz val="14"/>
        <color rgb="FF275317"/>
        <rFont val="Times New Roman"/>
        <family val="1"/>
      </rPr>
      <t>Există diferențe semnificative între bunici și tineri în ceea ce privește dificultatea percepută a Bacalaureatului (Q5).</t>
    </r>
  </si>
  <si>
    <t xml:space="preserve">   H₀: μ bunici = μ tineri</t>
  </si>
  <si>
    <t xml:space="preserve">   H₁: μ bunici ≠ μ tineri</t>
  </si>
  <si>
    <t xml:space="preserve">1. Data Analysis - Testul z </t>
  </si>
  <si>
    <t>2. Interpretarea datelor obținute (inserată în text box)</t>
  </si>
  <si>
    <r>
      <t xml:space="preserve">Ipoteza 2:   </t>
    </r>
    <r>
      <rPr>
        <b/>
        <sz val="14"/>
        <color rgb="FF275317"/>
        <rFont val="Times New Roman"/>
        <family val="1"/>
      </rPr>
      <t>Variabilitatea sprijinului din partea profesorilor pentru pregătirea Bacalaureatului (Q9) între genuri</t>
    </r>
  </si>
  <si>
    <r>
      <t>H₀:</t>
    </r>
    <r>
      <rPr>
        <b/>
        <sz val="14"/>
        <color rgb="FF153D63"/>
        <rFont val="Times New Roman"/>
        <family val="1"/>
      </rPr>
      <t> σ² masculin = σ² feminin</t>
    </r>
  </si>
  <si>
    <r>
      <t>H₁:</t>
    </r>
    <r>
      <rPr>
        <b/>
        <sz val="14"/>
        <color rgb="FF153D63"/>
        <rFont val="Times New Roman"/>
        <family val="1"/>
      </rPr>
      <t> σ² masculin ≠ σ² feminin</t>
    </r>
  </si>
  <si>
    <t>Se cere: 1. Data Analysis - Testul F</t>
  </si>
  <si>
    <t>Promoția (bunci/părinți/tineri)</t>
  </si>
  <si>
    <t>Bunici și străbunici</t>
  </si>
  <si>
    <t>Q5. Cum ați evalua dificultatea Bacalaureatului în ansamblu? Pe o scală de la 1 la 10:</t>
  </si>
  <si>
    <t>Tineri/Studenți</t>
  </si>
  <si>
    <t>Var Bunici</t>
  </si>
  <si>
    <t>Var Tineri</t>
  </si>
  <si>
    <t>z-Test: Two Sample for Means</t>
  </si>
  <si>
    <t>Mean</t>
  </si>
  <si>
    <t>Known Variance</t>
  </si>
  <si>
    <t>Observations</t>
  </si>
  <si>
    <t>Hypothesized Mean Difference</t>
  </si>
  <si>
    <t>z</t>
  </si>
  <si>
    <t>P(Z&lt;=z) one-tail</t>
  </si>
  <si>
    <t>z Critical one-tail</t>
  </si>
  <si>
    <t>P(Z&lt;=z) two-tail</t>
  </si>
  <si>
    <t>z Critical two-tail</t>
  </si>
  <si>
    <t>F-Test Two-Sample for Variances</t>
  </si>
  <si>
    <t>Variance</t>
  </si>
  <si>
    <t>df</t>
  </si>
  <si>
    <t>F</t>
  </si>
  <si>
    <t>P(F&lt;=f) one-tail</t>
  </si>
  <si>
    <t>F Critical one-tail</t>
  </si>
  <si>
    <t>Aplicația 2</t>
  </si>
  <si>
    <t xml:space="preserve">Din baza de date ”PIB UE” să se extragă datele la nivelul anului 2021. (completare în tabel - Col. Anul) </t>
  </si>
  <si>
    <t>2,0 p</t>
  </si>
  <si>
    <t>GEO (Labels)</t>
  </si>
  <si>
    <t>PIB (Mil. euro)</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</si>
  <si>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</si>
  <si>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</si>
  <si>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</si>
  <si>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</si>
  <si>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</si>
  <si>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</si>
  <si>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</si>
  <si>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</si>
  <si>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</si>
  <si>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</si>
  <si>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</si>
  <si>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</si>
  <si>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</si>
  <si>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</si>
  <si>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</si>
  <si>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</si>
  <si>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</si>
  <si>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</si>
  <si>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</si>
  <si>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</si>
  <si>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</si>
  <si>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</si>
  <si>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</si>
  <si>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</si>
  <si>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</si>
  <si>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</si>
  <si>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</si>
  <si>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În baza datelor extrase se cere:</t>
  </si>
  <si>
    <r>
      <t>1.</t>
    </r>
    <r>
      <rPr>
        <i/>
        <sz val="14"/>
        <color theme="8" tint="-0.499984740745262"/>
        <rFont val="Times New Roman"/>
        <family val="1"/>
      </rPr>
      <t>     Reprezentarea grafică a datelor - prin benzi - ierarhia PIB.</t>
    </r>
  </si>
  <si>
    <r>
      <t>2.</t>
    </r>
    <r>
      <rPr>
        <i/>
        <sz val="14"/>
        <color theme="8" tint="-0.499984740745262"/>
        <rFont val="Times New Roman"/>
        <family val="1"/>
      </rPr>
      <t>     Analiza indicatorilor tendinței centrale și de variație</t>
    </r>
  </si>
  <si>
    <r>
      <t>3.</t>
    </r>
    <r>
      <rPr>
        <i/>
        <sz val="14"/>
        <color theme="8" tint="-0.499984740745262"/>
        <rFont val="Times New Roman"/>
        <family val="1"/>
      </rPr>
      <t>     Calculul erorii medii de reprezentativitate, eroarea limită maximă admisă şi limitele între care se vor încadra PIB UE -27 state, unde z=1,96</t>
    </r>
  </si>
  <si>
    <r>
      <t>4.</t>
    </r>
    <r>
      <rPr>
        <i/>
        <sz val="14"/>
        <color theme="8" tint="-0.499984740745262"/>
        <rFont val="Times New Roman"/>
        <family val="1"/>
      </rPr>
      <t>     Interpretarea datelor obținute (inserată în text box)</t>
    </r>
  </si>
  <si>
    <t>Standard Error</t>
  </si>
  <si>
    <t>Median</t>
  </si>
  <si>
    <t>Mode</t>
  </si>
  <si>
    <t>Standard Deviation</t>
  </si>
  <si>
    <t>Sample Variance</t>
  </si>
  <si>
    <t>Kurtosis</t>
  </si>
  <si>
    <t>Skewness</t>
  </si>
  <si>
    <t>Range</t>
  </si>
  <si>
    <t>Minimum</t>
  </si>
  <si>
    <t>Maximum</t>
  </si>
  <si>
    <t>Sum</t>
  </si>
  <si>
    <t>Count</t>
  </si>
  <si>
    <t>PIB (Mil. Euro)</t>
  </si>
  <si>
    <t>Coef de variatie</t>
  </si>
  <si>
    <t xml:space="preserve">Eroare medie </t>
  </si>
  <si>
    <t>Eroare limita</t>
  </si>
  <si>
    <t>Limita inferioara</t>
  </si>
  <si>
    <t>Limita superioara</t>
  </si>
  <si>
    <t>Aplicația 3</t>
  </si>
  <si>
    <t xml:space="preserve">Din bazele de date ”Export” și ”Import” să se extragă datele la nivelul anului 2021. (completare în tabel) </t>
  </si>
  <si>
    <t>TIME</t>
  </si>
  <si>
    <t>Exportul</t>
  </si>
  <si>
    <t>Importul</t>
  </si>
  <si>
    <t>4,0 p</t>
  </si>
  <si>
    <t>Iceland</t>
  </si>
  <si>
    <t>Norway</t>
  </si>
  <si>
    <t>Switzerland</t>
  </si>
  <si>
    <t>Bosnia and Herzegovina</t>
  </si>
  <si>
    <t>Montenegro</t>
  </si>
  <si>
    <t>North Macedonia</t>
  </si>
  <si>
    <t>Albania</t>
  </si>
  <si>
    <t>Serbia</t>
  </si>
  <si>
    <r>
      <t xml:space="preserve">1.       </t>
    </r>
    <r>
      <rPr>
        <i/>
        <sz val="14"/>
        <color theme="1"/>
        <rFont val="Times New Roman"/>
        <family val="1"/>
      </rPr>
      <t>Statistica descriptivă a celor doi indicatori (în Excel)</t>
    </r>
  </si>
  <si>
    <r>
      <t xml:space="preserve">2.       </t>
    </r>
    <r>
      <rPr>
        <i/>
        <sz val="14"/>
        <color theme="1"/>
        <rFont val="Times New Roman"/>
        <family val="1"/>
      </rPr>
      <t>Estimarea parametrilor modelului de regresie prin: metoda determinanților, funcții Excel, prin metoda grafică și Data Analysis (Regresion Excel);  (la alegere două metode)</t>
    </r>
  </si>
  <si>
    <r>
      <t xml:space="preserve">3.       </t>
    </r>
    <r>
      <rPr>
        <i/>
        <sz val="14"/>
        <color theme="1"/>
        <rFont val="Times New Roman"/>
        <family val="1"/>
      </rPr>
      <t>Să se determine intensitatea legăturii dintre cele 2 variabile cu ajutorul Raportului de corelație, Coeficientului de corelație și Covarianței</t>
    </r>
  </si>
  <si>
    <r>
      <t xml:space="preserve">4.       </t>
    </r>
    <r>
      <rPr>
        <i/>
        <sz val="14"/>
        <color theme="1"/>
        <rFont val="Times New Roman"/>
        <family val="1"/>
      </rPr>
      <t>să se testeze validitatea modelului de regresie;</t>
    </r>
  </si>
  <si>
    <r>
      <t xml:space="preserve">5.       </t>
    </r>
    <r>
      <rPr>
        <i/>
        <sz val="14"/>
        <color theme="1"/>
        <rFont val="Times New Roman"/>
        <family val="1"/>
      </rPr>
      <t xml:space="preserve">să se testeze semnificația parametrilor modelului pentru un prag de semnificație α = 5%; </t>
    </r>
  </si>
  <si>
    <r>
      <t xml:space="preserve">6.       </t>
    </r>
    <r>
      <rPr>
        <i/>
        <sz val="14"/>
        <color theme="1"/>
        <rFont val="Times New Roman"/>
        <family val="1"/>
      </rPr>
      <t xml:space="preserve">să se aprecieze intensitatea legăturii dintre cele 2 variabile cu ajutorul unor indecși adecvați si sa se testeze semnificația acestora, α = 5%; </t>
    </r>
  </si>
  <si>
    <r>
      <t xml:space="preserve">7.       </t>
    </r>
    <r>
      <rPr>
        <i/>
        <sz val="14"/>
        <color theme="1"/>
        <rFont val="Times New Roman"/>
        <family val="1"/>
      </rPr>
      <t xml:space="preserve">o predicție a importurilor, pentru 2026 dacă valorea exporturilor UE-27 vor atinge valoarea de  </t>
    </r>
    <r>
      <rPr>
        <sz val="14"/>
        <color theme="1"/>
        <rFont val="Times New Roman"/>
        <family val="1"/>
      </rPr>
      <t>6.500.500 MIL.EURO</t>
    </r>
  </si>
  <si>
    <t>8. Interpretarea datelor</t>
  </si>
  <si>
    <t>X</t>
  </si>
  <si>
    <t>Y</t>
  </si>
  <si>
    <t>Import (Y)</t>
  </si>
  <si>
    <t>Export (X)</t>
  </si>
  <si>
    <t>Coef de var</t>
  </si>
  <si>
    <t>Regression Statistics</t>
  </si>
  <si>
    <t>Multiple R</t>
  </si>
  <si>
    <t>R Square</t>
  </si>
  <si>
    <t>Adjusted R Square</t>
  </si>
  <si>
    <t>ANOVA</t>
  </si>
  <si>
    <t>Regression</t>
  </si>
  <si>
    <t>Residual</t>
  </si>
  <si>
    <t>Total</t>
  </si>
  <si>
    <t>Intercept</t>
  </si>
  <si>
    <t>SS</t>
  </si>
  <si>
    <t>MS</t>
  </si>
  <si>
    <t>Significance F</t>
  </si>
  <si>
    <t>Coefficients</t>
  </si>
  <si>
    <t>t Stat</t>
  </si>
  <si>
    <t>P-value</t>
  </si>
  <si>
    <t>Lower 95%</t>
  </si>
  <si>
    <t>Upper 95%</t>
  </si>
  <si>
    <t>Lower 95,0%</t>
  </si>
  <si>
    <t>Upper 95,0%</t>
  </si>
  <si>
    <t>X Variable 1</t>
  </si>
  <si>
    <t>SUMMARY OUTPUT Export si Import</t>
  </si>
  <si>
    <t>Raportul de corelatie</t>
  </si>
  <si>
    <t>Covariatia</t>
  </si>
  <si>
    <t>Coef de corelatie Pearson</t>
  </si>
  <si>
    <t>Oficiu</t>
  </si>
  <si>
    <t>1 pct</t>
  </si>
  <si>
    <t>Subiecte APLICATIVE</t>
  </si>
  <si>
    <t>Prezentați un subiect de interes personal din tematicile disciplinei. 
Unde regasiți utilitatea practică a acestei tematici? Exemplificări personale</t>
  </si>
  <si>
    <t>1.0p</t>
  </si>
  <si>
    <t>Subiect teoretic aplicativ</t>
  </si>
  <si>
    <t>Standard minim de performanță: minimum 50% în evaluarea finală</t>
  </si>
  <si>
    <t>BILETUL NR. 15</t>
  </si>
  <si>
    <t>EVALUARE FINALĂ</t>
  </si>
  <si>
    <t>Nota evaluare finală</t>
  </si>
  <si>
    <t>...</t>
  </si>
  <si>
    <t>Grupa</t>
  </si>
  <si>
    <t>Nota activitate pe parcurs</t>
  </si>
  <si>
    <t>Nume prenume</t>
  </si>
  <si>
    <t>Nota finală</t>
  </si>
  <si>
    <t>STATISTICA INFERERNȚIALĂ</t>
  </si>
  <si>
    <t>Disciplina</t>
  </si>
  <si>
    <t>Valoare Import estimata Y Mil. Euro</t>
  </si>
  <si>
    <t>Predictie Export 2026 Mil. 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</si>
</sst>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0.##########"/>
    <numFmt numFmtId="166" formatCode="#,##0.0"/>
  </numFmts>
  <fonts count="31">
    <font>
      <sz val="11"/>
      <color theme="1"/>
      <name val="Aptos Narrow"/>
      <family val="2"/>
      <scheme val="minor"/>
    </font>
    <font>
      <sz val="14"/>
      <color theme="1"/>
      <name val="Times New Roman"/>
      <family val="1"/>
    </font>
    <font>
      <b/>
      <sz val="14"/>
      <color rgb="FF0070C0"/>
      <name val="Times New Roman"/>
      <family val="1"/>
    </font>
    <font>
      <b/>
      <sz val="14"/>
      <color rgb="FFFF0000"/>
      <name val="Times New Roman"/>
      <family val="1"/>
    </font>
    <font>
      <b/>
      <sz val="14"/>
      <color theme="8" tint="-0.499984740745262"/>
      <name val="Times New Roman"/>
      <family val="1"/>
    </font>
    <font>
      <b/>
      <sz val="14"/>
      <color rgb="FF153D63"/>
      <name val="Times New Roman"/>
      <family val="1"/>
    </font>
    <font>
      <b/>
      <sz val="14"/>
      <color rgb="FF275317"/>
      <name val="Times New Roman"/>
      <family val="1"/>
    </font>
    <font>
      <i/>
      <sz val="14"/>
      <color theme="8" tint="-0.499984740745262"/>
      <name val="Times New Roman"/>
      <family val="1"/>
    </font>
    <font>
      <sz val="14"/>
      <color rgb="FF153D63"/>
      <name val="Times New Roman"/>
      <family val="1"/>
    </font>
    <font>
      <sz val="10"/>
      <color rgb="FF000000"/>
      <name val="Aptos Narrow"/>
      <family val="2"/>
      <scheme val="minor"/>
    </font>
    <font>
      <b/>
      <sz val="12"/>
      <color theme="0"/>
      <name val="Times New Roman"/>
      <family val="1"/>
    </font>
    <font>
      <sz val="12"/>
      <color theme="1"/>
      <name val="Times New Roman"/>
      <family val="1"/>
    </font>
    <font>
      <i/>
      <sz val="11"/>
      <color theme="1"/>
      <name val="Aptos Narrow"/>
      <family val="2"/>
      <scheme val="minor"/>
    </font>
    <font>
      <sz val="11"/>
      <color indexed="8"/>
      <name val="Aptos Narrow"/>
      <family val="2"/>
      <scheme val="minor"/>
    </font>
    <font>
      <b/>
      <sz val="14"/>
      <name val="Times New Roman"/>
      <family val="1"/>
    </font>
    <font>
      <sz val="14"/>
      <color rgb="FF000000"/>
      <name val="Times New Roman"/>
      <family val="1"/>
    </font>
    <font>
      <sz val="14"/>
      <name val="Times New Roman"/>
      <family val="1"/>
    </font>
    <font>
      <b/>
      <sz val="9"/>
      <name val="Arial"/>
      <family val="2"/>
    </font>
    <font>
      <sz val="9"/>
      <name val="Arial"/>
      <family val="2"/>
    </font>
    <font>
      <b/>
      <sz val="14"/>
      <color indexed="9"/>
      <name val="Times New Roman"/>
      <family val="1"/>
    </font>
    <font>
      <b/>
      <sz val="14"/>
      <color rgb="FFFFFFFF"/>
      <name val="Times New Roman"/>
      <family val="1"/>
    </font>
    <font>
      <b/>
      <sz val="14"/>
      <color theme="1"/>
      <name val="Times New Roman"/>
      <family val="1"/>
    </font>
    <font>
      <i/>
      <sz val="14"/>
      <color theme="1"/>
      <name val="Times New Roman"/>
      <family val="1"/>
    </font>
    <font>
      <sz val="11"/>
      <color theme="1"/>
      <name val="Arial Narrow"/>
      <family val="2"/>
      <charset val="238"/>
    </font>
    <font>
      <sz val="12"/>
      <color theme="1"/>
      <name val="Arial Narrow"/>
      <family val="2"/>
      <charset val="238"/>
    </font>
    <font>
      <sz val="12"/>
      <color theme="1"/>
      <name val="Aptos Narrow"/>
      <family val="2"/>
      <scheme val="minor"/>
    </font>
    <font>
      <b/>
      <sz val="14"/>
      <color rgb="FF002060"/>
      <name val="Times New Roman"/>
      <family val="1"/>
    </font>
    <font>
      <sz val="16"/>
      <color theme="1"/>
      <name val="Times New Roman"/>
      <family val="1"/>
    </font>
    <font>
      <sz val="14"/>
      <color theme="0"/>
      <name val="Times New Roman"/>
      <family val="1"/>
    </font>
    <font>
      <sz val="16"/>
      <color rgb="FFC00000"/>
      <name val="Times New Roman"/>
      <family val="1"/>
    </font>
    <font>
      <b/>
      <sz val="14"/>
      <color theme="0"/>
      <name val="Times New Roman"/>
      <family val="1"/>
    </font>
  </fonts>
  <fills count="22">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rgb="FFFFFFFF"/>
        <bgColor rgb="FFFFFFFF"/>
      </patternFill>
    </fill>
    <fill>
      <patternFill patternType="solid">
        <fgColor rgb="FFF8F9FA"/>
        <bgColor rgb="FFF8F9FA"/>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rgb="FF0096DC"/>
      </patternFill>
    </fill>
    <fill>
      <patternFill patternType="solid">
        <fgColor rgb="FFDCE6F1"/>
      </patternFill>
    </fill>
    <fill>
      <patternFill patternType="solid">
        <fgColor rgb="FFF3FFD0"/>
        <bgColor indexed="64"/>
      </patternFill>
    </fill>
    <fill>
      <patternFill patternType="solid">
        <fgColor rgb="FFF6F6F6"/>
      </patternFill>
    </fill>
    <fill>
      <patternFill patternType="solid">
        <fgColor theme="3" tint="0.89999084444715716"/>
        <bgColor indexed="64"/>
      </patternFill>
    </fill>
    <fill>
      <patternFill patternType="solid">
        <fgColor rgb="FF4669AF"/>
      </patternFill>
    </fill>
    <fill>
      <patternFill patternType="solid">
        <fgColor rgb="FF4669AF"/>
        <bgColor rgb="FF000000"/>
      </patternFill>
    </fill>
    <fill>
      <patternFill patternType="solid">
        <fgColor rgb="FF0096DC"/>
        <bgColor rgb="FF000000"/>
      </patternFill>
    </fill>
    <fill>
      <patternFill patternType="solid">
        <fgColor rgb="FFF6F6F6"/>
        <bgColor rgb="FF000000"/>
      </patternFill>
    </fill>
    <fill>
      <patternFill patternType="solid">
        <fgColor rgb="FFFEF9EA"/>
        <bgColor indexed="64"/>
      </patternFill>
    </fill>
    <fill>
      <patternFill patternType="solid">
        <fgColor theme="9" tint="0.39997558519241921"/>
        <bgColor indexed="64"/>
      </patternFill>
    </fill>
    <fill>
      <patternFill patternType="solid">
        <fgColor theme="9" tint="-0.249977111117893"/>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7" tint="0.59999389629810485"/>
      </left>
      <right style="thin">
        <color theme="7" tint="0.59999389629810485"/>
      </right>
      <top style="thin">
        <color theme="7" tint="0.59999389629810485"/>
      </top>
      <bottom style="thin">
        <color theme="7" tint="0.59999389629810485"/>
      </bottom>
      <diagonal/>
    </border>
    <border>
      <left/>
      <right/>
      <top/>
      <bottom style="medium">
        <color indexed="64"/>
      </bottom>
      <diagonal/>
    </border>
    <border>
      <left/>
      <right/>
      <top style="medium">
        <color indexed="64"/>
      </top>
      <bottom style="thin">
        <color indexed="64"/>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thin">
        <color rgb="FF61CBF3"/>
      </left>
      <right style="thin">
        <color rgb="FF61CBF3"/>
      </right>
      <top style="thin">
        <color rgb="FF61CBF3"/>
      </top>
      <bottom style="thin">
        <color rgb="FF61CBF3"/>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style="thin">
        <color rgb="FFB0B0B0"/>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9" fillId="0" borderId="0"/>
    <xf numFmtId="0" fontId="13" fillId="0" borderId="0"/>
    <xf numFmtId="0" fontId="25" fillId="0" borderId="0"/>
  </cellStyleXfs>
  <cellXfs count="120">
    <xf numFmtId="0" fontId="0" fillId="0" borderId="0" xfId="0"/>
    <xf numFmtId="0" fontId="1" fillId="0" borderId="0" xfId="0" applyFont="1" applyAlignment="1">
      <alignment horizontal="right"/>
    </xf>
    <xf numFmtId="0" fontId="1" fillId="0" borderId="0" xfId="0" applyFont="1"/>
    <xf numFmtId="0" fontId="2" fillId="2" borderId="0" xfId="0" applyFont="1" applyFill="1" applyAlignment="1">
      <alignment horizontal="center"/>
    </xf>
    <xf numFmtId="0" fontId="2" fillId="3" borderId="1" xfId="0" applyFont="1" applyFill="1" applyBorder="1" applyAlignment="1">
      <alignment vertical="center"/>
    </xf>
    <xf numFmtId="0" fontId="1" fillId="3" borderId="1" xfId="0" applyFont="1" applyFill="1" applyBorder="1" applyAlignment="1">
      <alignment vertical="center"/>
    </xf>
    <xf numFmtId="0" fontId="1" fillId="0" borderId="1" xfId="0" applyFont="1" applyBorder="1" applyAlignment="1">
      <alignment horizontal="right"/>
    </xf>
    <xf numFmtId="0" fontId="4" fillId="0" borderId="1" xfId="0" applyFont="1" applyBorder="1" applyAlignment="1">
      <alignment vertical="top"/>
    </xf>
    <xf numFmtId="0" fontId="1" fillId="0" borderId="1" xfId="0" applyFont="1" applyBorder="1"/>
    <xf numFmtId="0" fontId="3" fillId="0" borderId="1" xfId="0" applyFont="1" applyBorder="1" applyAlignment="1">
      <alignment horizontal="center"/>
    </xf>
    <xf numFmtId="0" fontId="5" fillId="0" borderId="1" xfId="0" applyFont="1" applyBorder="1" applyAlignment="1">
      <alignment horizontal="left" vertical="top"/>
    </xf>
    <xf numFmtId="0" fontId="7" fillId="0" borderId="1" xfId="0" applyFont="1" applyBorder="1" applyAlignment="1">
      <alignment vertical="top"/>
    </xf>
    <xf numFmtId="0" fontId="5" fillId="0" borderId="1" xfId="0" applyFont="1" applyBorder="1"/>
    <xf numFmtId="0" fontId="8" fillId="0" borderId="1" xfId="0" applyFont="1" applyBorder="1" applyAlignment="1">
      <alignment horizontal="left" vertical="center" indent="3"/>
    </xf>
    <xf numFmtId="0" fontId="10" fillId="4" borderId="2" xfId="1" applyFont="1" applyFill="1" applyBorder="1" applyAlignment="1">
      <alignment horizontal="left" vertical="center" wrapText="1"/>
    </xf>
    <xf numFmtId="0" fontId="11" fillId="2" borderId="2" xfId="1" applyFont="1" applyFill="1" applyBorder="1" applyAlignment="1">
      <alignment horizontal="left" vertical="center"/>
    </xf>
    <xf numFmtId="0" fontId="11" fillId="5" borderId="2" xfId="1" applyFont="1" applyFill="1" applyBorder="1" applyAlignment="1">
      <alignment horizontal="left" vertical="center"/>
    </xf>
    <xf numFmtId="0" fontId="11" fillId="6" borderId="2" xfId="1" applyFont="1" applyFill="1" applyBorder="1" applyAlignment="1">
      <alignment horizontal="left" vertical="center"/>
    </xf>
    <xf numFmtId="0" fontId="11" fillId="6" borderId="2" xfId="1" applyFont="1" applyFill="1" applyBorder="1" applyAlignment="1">
      <alignment horizontal="left" vertical="top"/>
    </xf>
    <xf numFmtId="0" fontId="11" fillId="5" borderId="2" xfId="1" applyFont="1" applyFill="1" applyBorder="1" applyAlignment="1">
      <alignment horizontal="left" vertical="top"/>
    </xf>
    <xf numFmtId="0" fontId="11" fillId="0" borderId="2" xfId="0" applyFont="1" applyBorder="1"/>
    <xf numFmtId="0" fontId="11" fillId="7" borderId="2" xfId="1" applyFont="1" applyFill="1" applyBorder="1" applyAlignment="1">
      <alignment horizontal="left" vertical="center"/>
    </xf>
    <xf numFmtId="0" fontId="11" fillId="0" borderId="2" xfId="0" applyFont="1" applyBorder="1" applyAlignment="1">
      <alignment horizontal="left"/>
    </xf>
    <xf numFmtId="0" fontId="11" fillId="8" borderId="2" xfId="0" applyFont="1" applyFill="1" applyBorder="1" applyAlignment="1">
      <alignment horizontal="left"/>
    </xf>
    <xf numFmtId="0" fontId="11" fillId="2" borderId="2" xfId="0" applyFont="1" applyFill="1" applyBorder="1"/>
    <xf numFmtId="0" fontId="0" fillId="0" borderId="0" xfId="0" applyFill="1" applyBorder="1" applyAlignment="1"/>
    <xf numFmtId="0" fontId="0" fillId="0" borderId="3" xfId="0" applyFill="1" applyBorder="1" applyAlignment="1"/>
    <xf numFmtId="0" fontId="12" fillId="0" borderId="4" xfId="0" applyFont="1" applyFill="1" applyBorder="1" applyAlignment="1">
      <alignment horizontal="center"/>
    </xf>
    <xf numFmtId="2" fontId="0" fillId="0" borderId="0" xfId="0" applyNumberFormat="1" applyFill="1" applyBorder="1" applyAlignment="1"/>
    <xf numFmtId="0" fontId="2" fillId="9" borderId="0" xfId="0" applyFont="1" applyFill="1"/>
    <xf numFmtId="0" fontId="1" fillId="9" borderId="0" xfId="0" applyFont="1" applyFill="1"/>
    <xf numFmtId="0" fontId="3" fillId="0" borderId="0" xfId="0" applyFont="1" applyAlignment="1">
      <alignment horizontal="center"/>
    </xf>
    <xf numFmtId="0" fontId="14" fillId="10" borderId="5" xfId="2" applyFont="1" applyFill="1" applyBorder="1" applyAlignment="1">
      <alignment horizontal="left" vertical="center"/>
    </xf>
    <xf numFmtId="0" fontId="16" fillId="11" borderId="5" xfId="2" applyFont="1" applyFill="1" applyBorder="1" applyAlignment="1">
      <alignment horizontal="left" vertical="center"/>
    </xf>
    <xf numFmtId="0" fontId="17" fillId="12" borderId="7" xfId="2" applyFont="1" applyFill="1" applyBorder="1" applyAlignment="1">
      <alignment horizontal="left" vertical="center"/>
    </xf>
    <xf numFmtId="0" fontId="1" fillId="0" borderId="5" xfId="0" applyFont="1" applyBorder="1"/>
    <xf numFmtId="0" fontId="4" fillId="0" borderId="0" xfId="0" applyFont="1" applyAlignment="1">
      <alignment vertical="top"/>
    </xf>
    <xf numFmtId="165" fontId="18" fillId="13" borderId="0" xfId="2" applyNumberFormat="1" applyFont="1" applyFill="1" applyAlignment="1">
      <alignment horizontal="right" vertical="center" shrinkToFit="1"/>
    </xf>
    <xf numFmtId="165" fontId="18" fillId="0" borderId="0" xfId="2" applyNumberFormat="1" applyFont="1" applyAlignment="1">
      <alignment horizontal="right" vertical="center" shrinkToFit="1"/>
    </xf>
    <xf numFmtId="166" fontId="18" fillId="0" borderId="0" xfId="2" applyNumberFormat="1" applyFont="1" applyAlignment="1">
      <alignment horizontal="right" vertical="center" shrinkToFit="1"/>
    </xf>
    <xf numFmtId="166" fontId="18" fillId="13" borderId="0" xfId="2" applyNumberFormat="1" applyFont="1" applyFill="1" applyAlignment="1">
      <alignment horizontal="right" vertical="center" shrinkToFit="1"/>
    </xf>
    <xf numFmtId="165" fontId="18" fillId="8" borderId="0" xfId="2" applyNumberFormat="1" applyFont="1" applyFill="1" applyAlignment="1">
      <alignment horizontal="right" vertical="center" shrinkToFit="1"/>
    </xf>
    <xf numFmtId="165" fontId="18" fillId="0" borderId="6" xfId="2" applyNumberFormat="1" applyFont="1" applyBorder="1" applyAlignment="1">
      <alignment horizontal="right" vertical="center" shrinkToFit="1"/>
    </xf>
    <xf numFmtId="0" fontId="15" fillId="0" borderId="0" xfId="0" applyFont="1" applyBorder="1"/>
    <xf numFmtId="0" fontId="12" fillId="0" borderId="4" xfId="0" applyFont="1" applyFill="1" applyBorder="1" applyAlignment="1">
      <alignment horizontal="centerContinuous"/>
    </xf>
    <xf numFmtId="0" fontId="2" fillId="14" borderId="0" xfId="0" applyFont="1" applyFill="1"/>
    <xf numFmtId="0" fontId="1" fillId="14" borderId="0" xfId="0" applyFont="1" applyFill="1"/>
    <xf numFmtId="0" fontId="19" fillId="15" borderId="7" xfId="0" applyFont="1" applyFill="1" applyBorder="1" applyAlignment="1">
      <alignment horizontal="right" vertical="center"/>
    </xf>
    <xf numFmtId="0" fontId="19" fillId="15" borderId="7" xfId="0" applyFont="1" applyFill="1" applyBorder="1" applyAlignment="1">
      <alignment horizontal="left" vertical="center"/>
    </xf>
    <xf numFmtId="0" fontId="20" fillId="16" borderId="8" xfId="0" applyFont="1" applyFill="1" applyBorder="1" applyAlignment="1">
      <alignment horizontal="left" vertical="center"/>
    </xf>
    <xf numFmtId="0" fontId="14" fillId="10" borderId="7" xfId="0" applyFont="1" applyFill="1" applyBorder="1" applyAlignment="1">
      <alignment horizontal="left" vertical="center"/>
    </xf>
    <xf numFmtId="0" fontId="14" fillId="17" borderId="9" xfId="0" applyFont="1" applyFill="1" applyBorder="1" applyAlignment="1">
      <alignment horizontal="left" vertical="center"/>
    </xf>
    <xf numFmtId="0" fontId="1" fillId="11" borderId="7" xfId="0" applyFont="1" applyFill="1" applyBorder="1" applyAlignment="1">
      <alignment horizontal="left" vertical="center"/>
    </xf>
    <xf numFmtId="0" fontId="21" fillId="2" borderId="0" xfId="0" applyFont="1" applyFill="1" applyAlignment="1">
      <alignment horizontal="left" vertical="center"/>
    </xf>
    <xf numFmtId="0" fontId="1" fillId="2" borderId="0" xfId="0" applyFont="1" applyFill="1"/>
    <xf numFmtId="0" fontId="1" fillId="2" borderId="0" xfId="0" applyFont="1" applyFill="1" applyAlignment="1">
      <alignment horizontal="left" vertical="center" indent="3"/>
    </xf>
    <xf numFmtId="165" fontId="18" fillId="18" borderId="0" xfId="0" applyNumberFormat="1" applyFont="1" applyFill="1" applyAlignment="1">
      <alignment horizontal="right" vertical="center" shrinkToFit="1"/>
    </xf>
    <xf numFmtId="165" fontId="18" fillId="0" borderId="0" xfId="0" applyNumberFormat="1" applyFont="1" applyAlignment="1">
      <alignment horizontal="right" vertical="center" shrinkToFit="1"/>
    </xf>
    <xf numFmtId="166" fontId="18" fillId="18" borderId="0" xfId="0" applyNumberFormat="1" applyFont="1" applyFill="1" applyAlignment="1">
      <alignment horizontal="right" vertical="center" shrinkToFit="1"/>
    </xf>
    <xf numFmtId="166" fontId="18" fillId="0" borderId="0" xfId="0" applyNumberFormat="1" applyFont="1" applyAlignment="1">
      <alignment horizontal="right" vertical="center" shrinkToFit="1"/>
    </xf>
    <xf numFmtId="165" fontId="18" fillId="13" borderId="0" xfId="0" applyNumberFormat="1" applyFont="1" applyFill="1" applyAlignment="1">
      <alignment horizontal="right" vertical="center" shrinkToFit="1"/>
    </xf>
    <xf numFmtId="166" fontId="18" fillId="13" borderId="0" xfId="0" applyNumberFormat="1" applyFont="1" applyFill="1" applyAlignment="1">
      <alignment horizontal="right" vertical="center" shrinkToFit="1"/>
    </xf>
    <xf numFmtId="2" fontId="0" fillId="0" borderId="3" xfId="0" applyNumberFormat="1" applyFill="1" applyBorder="1" applyAlignment="1"/>
    <xf numFmtId="0" fontId="24" fillId="0" borderId="0" xfId="0" applyFont="1"/>
    <xf numFmtId="0" fontId="23" fillId="0" borderId="0" xfId="0" applyFont="1" applyFill="1" applyBorder="1" applyAlignment="1"/>
    <xf numFmtId="0" fontId="1" fillId="0" borderId="0" xfId="3" applyFont="1"/>
    <xf numFmtId="0" fontId="1" fillId="0" borderId="0" xfId="3" applyFont="1" applyAlignment="1">
      <alignment horizontal="right"/>
    </xf>
    <xf numFmtId="0" fontId="26" fillId="0" borderId="0" xfId="3" applyFont="1"/>
    <xf numFmtId="0" fontId="3" fillId="0" borderId="0" xfId="3" applyFont="1" applyAlignment="1">
      <alignment horizontal="center"/>
    </xf>
    <xf numFmtId="0" fontId="1" fillId="2" borderId="0" xfId="3" applyFont="1" applyFill="1"/>
    <xf numFmtId="0" fontId="1" fillId="2" borderId="0" xfId="3" applyFont="1" applyFill="1" applyAlignment="1">
      <alignment horizontal="left" vertical="center" indent="3"/>
    </xf>
    <xf numFmtId="0" fontId="21" fillId="2" borderId="0" xfId="3" applyFont="1" applyFill="1" applyAlignment="1">
      <alignment horizontal="left" vertical="center"/>
    </xf>
    <xf numFmtId="165" fontId="16" fillId="18" borderId="0" xfId="3" applyNumberFormat="1" applyFont="1" applyFill="1" applyAlignment="1">
      <alignment horizontal="right" vertical="center" shrinkToFit="1"/>
    </xf>
    <xf numFmtId="165" fontId="16" fillId="13" borderId="0" xfId="3" applyNumberFormat="1" applyFont="1" applyFill="1" applyAlignment="1">
      <alignment horizontal="right" vertical="center" shrinkToFit="1"/>
    </xf>
    <xf numFmtId="0" fontId="1" fillId="11" borderId="7" xfId="3" applyFont="1" applyFill="1" applyBorder="1" applyAlignment="1">
      <alignment horizontal="left" vertical="center"/>
    </xf>
    <xf numFmtId="165" fontId="16" fillId="0" borderId="0" xfId="3" applyNumberFormat="1" applyFont="1" applyAlignment="1">
      <alignment horizontal="right" vertical="center" shrinkToFit="1"/>
    </xf>
    <xf numFmtId="166" fontId="16" fillId="0" borderId="0" xfId="3" applyNumberFormat="1" applyFont="1" applyAlignment="1">
      <alignment horizontal="right" vertical="center" shrinkToFit="1"/>
    </xf>
    <xf numFmtId="166" fontId="16" fillId="13" borderId="0" xfId="3" applyNumberFormat="1" applyFont="1" applyFill="1" applyAlignment="1">
      <alignment horizontal="right" vertical="center" shrinkToFit="1"/>
    </xf>
    <xf numFmtId="166" fontId="16" fillId="18" borderId="0" xfId="3" applyNumberFormat="1" applyFont="1" applyFill="1" applyAlignment="1">
      <alignment horizontal="right" vertical="center" shrinkToFit="1"/>
    </xf>
    <xf numFmtId="0" fontId="14" fillId="17" borderId="9" xfId="3" applyFont="1" applyFill="1" applyBorder="1" applyAlignment="1">
      <alignment horizontal="left" vertical="center"/>
    </xf>
    <xf numFmtId="0" fontId="14" fillId="10" borderId="7" xfId="3" applyFont="1" applyFill="1" applyBorder="1" applyAlignment="1">
      <alignment horizontal="left" vertical="center"/>
    </xf>
    <xf numFmtId="0" fontId="20" fillId="16" borderId="8" xfId="3" applyFont="1" applyFill="1" applyBorder="1" applyAlignment="1">
      <alignment horizontal="left" vertical="center"/>
    </xf>
    <xf numFmtId="0" fontId="19" fillId="15" borderId="7" xfId="3" applyFont="1" applyFill="1" applyBorder="1" applyAlignment="1">
      <alignment horizontal="left" vertical="center"/>
    </xf>
    <xf numFmtId="0" fontId="19" fillId="15" borderId="7" xfId="3" applyFont="1" applyFill="1" applyBorder="1" applyAlignment="1">
      <alignment horizontal="right" vertical="center"/>
    </xf>
    <xf numFmtId="0" fontId="1" fillId="14" borderId="0" xfId="3" applyFont="1" applyFill="1"/>
    <xf numFmtId="0" fontId="2" fillId="14" borderId="0" xfId="3" applyFont="1" applyFill="1"/>
    <xf numFmtId="0" fontId="2" fillId="2" borderId="0" xfId="3" applyFont="1" applyFill="1" applyAlignment="1">
      <alignment horizontal="center"/>
    </xf>
    <xf numFmtId="0" fontId="4" fillId="0" borderId="0" xfId="3" applyFont="1" applyAlignment="1">
      <alignment vertical="top"/>
    </xf>
    <xf numFmtId="0" fontId="1" fillId="0" borderId="5" xfId="3" applyFont="1" applyBorder="1"/>
    <xf numFmtId="0" fontId="15" fillId="0" borderId="6" xfId="3" applyFont="1" applyBorder="1"/>
    <xf numFmtId="0" fontId="1" fillId="9" borderId="0" xfId="3" applyFont="1" applyFill="1"/>
    <xf numFmtId="0" fontId="2" fillId="9" borderId="0" xfId="3" applyFont="1" applyFill="1"/>
    <xf numFmtId="0" fontId="1" fillId="0" borderId="1" xfId="3" applyFont="1" applyBorder="1"/>
    <xf numFmtId="0" fontId="7" fillId="0" borderId="1" xfId="3" applyFont="1" applyBorder="1" applyAlignment="1">
      <alignment vertical="top"/>
    </xf>
    <xf numFmtId="0" fontId="1" fillId="0" borderId="1" xfId="3" applyFont="1" applyBorder="1" applyAlignment="1">
      <alignment horizontal="right"/>
    </xf>
    <xf numFmtId="0" fontId="8" fillId="0" borderId="1" xfId="3" applyFont="1" applyBorder="1" applyAlignment="1">
      <alignment horizontal="left" vertical="center" indent="3"/>
    </xf>
    <xf numFmtId="0" fontId="3" fillId="0" borderId="1" xfId="3" applyFont="1" applyBorder="1" applyAlignment="1">
      <alignment horizontal="center"/>
    </xf>
    <xf numFmtId="0" fontId="5" fillId="0" borderId="1" xfId="3" applyFont="1" applyBorder="1"/>
    <xf numFmtId="0" fontId="5" fillId="0" borderId="1" xfId="3" applyFont="1" applyBorder="1" applyAlignment="1">
      <alignment horizontal="left" vertical="top"/>
    </xf>
    <xf numFmtId="0" fontId="4" fillId="0" borderId="1" xfId="3" applyFont="1" applyBorder="1" applyAlignment="1">
      <alignment vertical="top"/>
    </xf>
    <xf numFmtId="0" fontId="1" fillId="0" borderId="0" xfId="3" applyFont="1" applyAlignment="1">
      <alignment vertical="center"/>
    </xf>
    <xf numFmtId="0" fontId="1" fillId="3" borderId="1" xfId="3" applyFont="1" applyFill="1" applyBorder="1" applyAlignment="1">
      <alignment vertical="center"/>
    </xf>
    <xf numFmtId="0" fontId="2" fillId="3" borderId="1" xfId="3" applyFont="1" applyFill="1" applyBorder="1" applyAlignment="1">
      <alignment vertical="center"/>
    </xf>
    <xf numFmtId="0" fontId="3" fillId="3" borderId="0" xfId="3" applyFont="1" applyFill="1" applyAlignment="1">
      <alignment horizontal="center" vertical="top"/>
    </xf>
    <xf numFmtId="0" fontId="21" fillId="0" borderId="1" xfId="3" applyFont="1" applyBorder="1" applyAlignment="1">
      <alignment vertical="top"/>
    </xf>
    <xf numFmtId="0" fontId="1" fillId="2" borderId="0" xfId="3" applyFont="1" applyFill="1" applyAlignment="1">
      <alignment vertical="top" wrapText="1"/>
    </xf>
    <xf numFmtId="0" fontId="4" fillId="2" borderId="10" xfId="3" applyFont="1" applyFill="1" applyBorder="1" applyAlignment="1">
      <alignment horizontal="left" vertical="top" wrapText="1"/>
    </xf>
    <xf numFmtId="0" fontId="4" fillId="2" borderId="11" xfId="3" applyFont="1" applyFill="1" applyBorder="1" applyAlignment="1">
      <alignment horizontal="left" vertical="top" wrapText="1"/>
    </xf>
    <xf numFmtId="0" fontId="3" fillId="3" borderId="12" xfId="3" applyFont="1" applyFill="1" applyBorder="1" applyAlignment="1">
      <alignment horizontal="center" vertical="top"/>
    </xf>
    <xf numFmtId="0" fontId="3" fillId="3" borderId="13" xfId="3" applyFont="1" applyFill="1" applyBorder="1" applyAlignment="1">
      <alignment horizontal="center" vertical="top"/>
    </xf>
    <xf numFmtId="0" fontId="3" fillId="3" borderId="14" xfId="3" applyFont="1" applyFill="1" applyBorder="1" applyAlignment="1">
      <alignment horizontal="center" vertical="top"/>
    </xf>
    <xf numFmtId="0" fontId="27" fillId="19" borderId="1" xfId="3" applyFont="1" applyFill="1" applyBorder="1"/>
    <xf numFmtId="0" fontId="27" fillId="19" borderId="1" xfId="3" applyFont="1" applyFill="1" applyBorder="1" applyAlignment="1">
      <alignment horizontal="left"/>
    </xf>
    <xf numFmtId="0" fontId="3" fillId="20" borderId="0" xfId="3" applyFont="1" applyFill="1" applyAlignment="1">
      <alignment horizontal="center"/>
    </xf>
    <xf numFmtId="0" fontId="28" fillId="21" borderId="0" xfId="3" applyFont="1" applyFill="1" applyAlignment="1">
      <alignment horizontal="right" vertical="center" wrapText="1"/>
    </xf>
    <xf numFmtId="9" fontId="29" fillId="19" borderId="1" xfId="3" applyNumberFormat="1" applyFont="1" applyFill="1" applyBorder="1" applyAlignment="1">
      <alignment horizontal="center"/>
    </xf>
    <xf numFmtId="0" fontId="3" fillId="2" borderId="0" xfId="3" applyFont="1" applyFill="1" applyAlignment="1">
      <alignment horizontal="center"/>
    </xf>
    <xf numFmtId="0" fontId="29" fillId="19" borderId="1" xfId="3" applyFont="1" applyFill="1" applyBorder="1"/>
    <xf numFmtId="0" fontId="30" fillId="21" borderId="0" xfId="3" applyFont="1" applyFill="1" applyAlignment="1">
      <alignment horizontal="center"/>
    </xf>
    <xf numFmtId="0" fontId="28" fillId="21" borderId="0" xfId="3" applyFont="1" applyFill="1" applyAlignment="1">
      <alignment horizontal="right" vertical="center"/>
    </xf>
  </cellXfs>
  <cellStyles count="4">
    <cellStyle name="Normal" xfId="0" builtinId="0"/>
    <cellStyle name="Normal 2" xfId="1"/>
    <cellStyle name="Normal 2 2" xfId="2"/>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Ierarhie</a:t>
            </a:r>
            <a:r>
              <a:rPr lang="en-US" baseline="0"/>
              <a:t> PIB anul 2021</a:t>
            </a:r>
            <a:endParaRPr lang="ro-RO"/>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'Aplicatia 2'!$B$3:$B$29</c:f>
              <c:strCache>
                <c:ptCount val="27"/>
                <c:pt idx="0">
                  <c:v>Cyprus</c:v>
                </c:pt>
                <c:pt idx="1">
                  <c:v>Estonia</c:v>
                </c:pt>
                <c:pt idx="2">
                  <c:v>Latvia</c:v>
                </c:pt>
                <c:pt idx="3">
                  <c:v>Slovenia</c:v>
                </c:pt>
                <c:pt idx="4">
                  <c:v>Lithuania</c:v>
                </c:pt>
                <c:pt idx="5">
                  <c:v>Croatia</c:v>
                </c:pt>
                <c:pt idx="6">
                  <c:v>Bulgaria</c:v>
                </c:pt>
                <c:pt idx="7">
                  <c:v>Luxembourg</c:v>
                </c:pt>
                <c:pt idx="8">
                  <c:v>Slovakia</c:v>
                </c:pt>
                <c:pt idx="9">
                  <c:v>Hungary</c:v>
                </c:pt>
                <c:pt idx="10">
                  <c:v>Greece</c:v>
                </c:pt>
                <c:pt idx="11">
                  <c:v>Portugal</c:v>
                </c:pt>
                <c:pt idx="12">
                  <c:v>Romania</c:v>
                </c:pt>
                <c:pt idx="13">
                  <c:v>Czechia</c:v>
                </c:pt>
                <c:pt idx="14">
                  <c:v>Finland</c:v>
                </c:pt>
                <c:pt idx="15">
                  <c:v>Denmark</c:v>
                </c:pt>
                <c:pt idx="16">
                  <c:v>Austria</c:v>
                </c:pt>
                <c:pt idx="17">
                  <c:v>Ireland</c:v>
                </c:pt>
                <c:pt idx="18">
                  <c:v>Belgium</c:v>
                </c:pt>
                <c:pt idx="19">
                  <c:v>Sweden</c:v>
                </c:pt>
                <c:pt idx="20">
                  <c:v>Poland</c:v>
                </c:pt>
                <c:pt idx="21">
                  <c:v>Netherlands</c:v>
                </c:pt>
                <c:pt idx="22">
                  <c:v>Spain</c:v>
                </c:pt>
                <c:pt idx="23">
                  <c:v>Italy</c:v>
                </c:pt>
                <c:pt idx="24">
                  <c:v>France</c:v>
                </c:pt>
                <c:pt idx="25">
                  <c:v>Germany</c:v>
                </c:pt>
                <c:pt idx="26">
                  <c:v>GEO (Labels)</c:v>
                </c:pt>
              </c:strCache>
            </c:strRef>
          </c:cat>
          <c:val>
            <c:numRef>
              <c:f>'Aplicatia 2'!$C$3:$C$29</c:f>
              <c:numCache>
                <c:formatCode>#.##0##########</c:formatCode>
                <c:ptCount val="27"/>
                <c:pt idx="0">
                  <c:v>25679.9</c:v>
                </c:pt>
                <c:pt idx="1">
                  <c:v>31456.2</c:v>
                </c:pt>
                <c:pt idx="2">
                  <c:v>32283.8</c:v>
                </c:pt>
                <c:pt idx="3">
                  <c:v>52022.6</c:v>
                </c:pt>
                <c:pt idx="4">
                  <c:v>56679.7</c:v>
                </c:pt>
                <c:pt idx="5">
                  <c:v>58394.1</c:v>
                </c:pt>
                <c:pt idx="6">
                  <c:v>71378.399999999994</c:v>
                </c:pt>
                <c:pt idx="7">
                  <c:v>73039.5</c:v>
                </c:pt>
                <c:pt idx="8">
                  <c:v>101933.5</c:v>
                </c:pt>
                <c:pt idx="9">
                  <c:v>154971.70000000001</c:v>
                </c:pt>
                <c:pt idx="10">
                  <c:v>184574.6</c:v>
                </c:pt>
                <c:pt idx="11">
                  <c:v>216493.7</c:v>
                </c:pt>
                <c:pt idx="12">
                  <c:v>242260.4</c:v>
                </c:pt>
                <c:pt idx="13">
                  <c:v>246012.3</c:v>
                </c:pt>
                <c:pt idx="14" formatCode="#.##00">
                  <c:v>248764</c:v>
                </c:pt>
                <c:pt idx="15" formatCode="#.##00">
                  <c:v>345236</c:v>
                </c:pt>
                <c:pt idx="16">
                  <c:v>406232.1</c:v>
                </c:pt>
                <c:pt idx="17">
                  <c:v>449216.5</c:v>
                </c:pt>
                <c:pt idx="18">
                  <c:v>506047.2</c:v>
                </c:pt>
                <c:pt idx="19">
                  <c:v>538597.19999999995</c:v>
                </c:pt>
                <c:pt idx="20">
                  <c:v>583001.4</c:v>
                </c:pt>
                <c:pt idx="21" formatCode="#.##00">
                  <c:v>891550</c:v>
                </c:pt>
                <c:pt idx="22" formatCode="#.##00">
                  <c:v>1235474</c:v>
                </c:pt>
                <c:pt idx="23">
                  <c:v>1842507.4</c:v>
                </c:pt>
                <c:pt idx="24">
                  <c:v>2508102.2999999998</c:v>
                </c:pt>
                <c:pt idx="25" formatCode="#.##00">
                  <c:v>3676460</c:v>
                </c:pt>
                <c:pt idx="26" formatCode="General">
                  <c:v>0</c:v>
                </c:pt>
              </c:numCache>
            </c:numRef>
          </c:val>
          <c:extLst>
            <c:ext xmlns:c16="http://schemas.microsoft.com/office/drawing/2014/chart" uri="{C3380CC4-5D6E-409C-BE32-E72D297353CC}">
              <c16:uniqueId val="{00000000-A16F-4525-A362-9817FD192058}"/>
            </c:ext>
          </c:extLst>
        </c:ser>
        <c:dLbls>
          <c:dLblPos val="outEnd"/>
          <c:showLegendKey val="0"/>
          <c:showVal val="1"/>
          <c:showCatName val="0"/>
          <c:showSerName val="0"/>
          <c:showPercent val="0"/>
          <c:showBubbleSize val="0"/>
        </c:dLbls>
        <c:gapWidth val="182"/>
        <c:axId val="1695746432"/>
        <c:axId val="1695736448"/>
      </c:barChart>
      <c:catAx>
        <c:axId val="169574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95736448"/>
        <c:crosses val="autoZero"/>
        <c:auto val="1"/>
        <c:lblAlgn val="ctr"/>
        <c:lblOffset val="100"/>
        <c:noMultiLvlLbl val="0"/>
      </c:catAx>
      <c:valAx>
        <c:axId val="169573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9574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Export</a:t>
            </a:r>
            <a:r>
              <a:rPr lang="en-US" baseline="0"/>
              <a:t> si Import anul 2021</a:t>
            </a:r>
            <a:endParaRPr lang="ro-RO"/>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trendlineLbl>
          </c:trendline>
          <c:xVal>
            <c:numRef>
              <c:f>'Aplicatia 3'!$C$4:$C$38</c:f>
              <c:numCache>
                <c:formatCode>#.##0##########</c:formatCode>
                <c:ptCount val="35"/>
                <c:pt idx="0">
                  <c:v>338516.6</c:v>
                </c:pt>
                <c:pt idx="1">
                  <c:v>34405.1</c:v>
                </c:pt>
                <c:pt idx="2">
                  <c:v>147526.79999999999</c:v>
                </c:pt>
                <c:pt idx="3">
                  <c:v>119279.1</c:v>
                </c:pt>
                <c:pt idx="4" formatCode="#.##00">
                  <c:v>1222742</c:v>
                </c:pt>
                <c:pt idx="5">
                  <c:v>16419.599999999999</c:v>
                </c:pt>
                <c:pt idx="6">
                  <c:v>280655.5</c:v>
                </c:pt>
                <c:pt idx="7">
                  <c:v>39459.9</c:v>
                </c:pt>
                <c:pt idx="8" formatCode="#.##00">
                  <c:v>317822</c:v>
                </c:pt>
                <c:pt idx="9" formatCode="#.##00">
                  <c:v>540114</c:v>
                </c:pt>
                <c:pt idx="10">
                  <c:v>14791.6</c:v>
                </c:pt>
                <c:pt idx="11">
                  <c:v>485246.2</c:v>
                </c:pt>
                <c:pt idx="12">
                  <c:v>3744.5</c:v>
                </c:pt>
                <c:pt idx="13">
                  <c:v>16221.8</c:v>
                </c:pt>
                <c:pt idx="14">
                  <c:v>31561.9</c:v>
                </c:pt>
                <c:pt idx="15">
                  <c:v>24660.6</c:v>
                </c:pt>
                <c:pt idx="16">
                  <c:v>100294.39999999999</c:v>
                </c:pt>
                <c:pt idx="17">
                  <c:v>3226.4</c:v>
                </c:pt>
                <c:pt idx="18" formatCode="#.##00">
                  <c:v>560235</c:v>
                </c:pt>
                <c:pt idx="19">
                  <c:v>167052.9</c:v>
                </c:pt>
                <c:pt idx="20">
                  <c:v>263765.40000000002</c:v>
                </c:pt>
                <c:pt idx="21">
                  <c:v>62145.7</c:v>
                </c:pt>
                <c:pt idx="22">
                  <c:v>70177.399999999994</c:v>
                </c:pt>
                <c:pt idx="23">
                  <c:v>35254.800000000003</c:v>
                </c:pt>
                <c:pt idx="24">
                  <c:v>82401.5</c:v>
                </c:pt>
                <c:pt idx="25" formatCode="#.##00">
                  <c:v>70236</c:v>
                </c:pt>
                <c:pt idx="26">
                  <c:v>180696.2</c:v>
                </c:pt>
                <c:pt idx="27">
                  <c:v>5176.1000000000004</c:v>
                </c:pt>
                <c:pt idx="28">
                  <c:v>147062.29999999999</c:v>
                </c:pt>
                <c:pt idx="29">
                  <c:v>370626.5</c:v>
                </c:pt>
                <c:pt idx="30">
                  <c:v>6498.5</c:v>
                </c:pt>
                <c:pt idx="31">
                  <c:v>525.79999999999995</c:v>
                </c:pt>
                <c:pt idx="32">
                  <c:v>6000.7</c:v>
                </c:pt>
                <c:pt idx="33">
                  <c:v>1264.2</c:v>
                </c:pt>
                <c:pt idx="34" formatCode="#.##00">
                  <c:v>21450</c:v>
                </c:pt>
              </c:numCache>
            </c:numRef>
          </c:xVal>
          <c:yVal>
            <c:numRef>
              <c:f>'Aplicatia 3'!$D$4:$D$38</c:f>
              <c:numCache>
                <c:formatCode>#.##0##########</c:formatCode>
                <c:ptCount val="35"/>
                <c:pt idx="0">
                  <c:v>444089.5</c:v>
                </c:pt>
                <c:pt idx="1">
                  <c:v>42353.599999999999</c:v>
                </c:pt>
                <c:pt idx="2">
                  <c:v>164405.29999999999</c:v>
                </c:pt>
                <c:pt idx="3">
                  <c:v>181554.8</c:v>
                </c:pt>
                <c:pt idx="4" formatCode="#.##00">
                  <c:v>1378637</c:v>
                </c:pt>
                <c:pt idx="5">
                  <c:v>25431.9</c:v>
                </c:pt>
                <c:pt idx="6">
                  <c:v>410421.2</c:v>
                </c:pt>
                <c:pt idx="7">
                  <c:v>88138.5</c:v>
                </c:pt>
                <c:pt idx="8" formatCode="#.##00">
                  <c:v>404834</c:v>
                </c:pt>
                <c:pt idx="9">
                  <c:v>815144.1</c:v>
                </c:pt>
                <c:pt idx="10">
                  <c:v>30673.7</c:v>
                </c:pt>
                <c:pt idx="11">
                  <c:v>536729.19999999995</c:v>
                </c:pt>
                <c:pt idx="12">
                  <c:v>22102.7</c:v>
                </c:pt>
                <c:pt idx="13">
                  <c:v>22593.9</c:v>
                </c:pt>
                <c:pt idx="14" formatCode="#.##00">
                  <c:v>42610</c:v>
                </c:pt>
                <c:pt idx="15">
                  <c:v>132850.1</c:v>
                </c:pt>
                <c:pt idx="16">
                  <c:v>122906.7</c:v>
                </c:pt>
                <c:pt idx="17">
                  <c:v>17038.3</c:v>
                </c:pt>
                <c:pt idx="18" formatCode="#.##00">
                  <c:v>683862</c:v>
                </c:pt>
                <c:pt idx="19">
                  <c:v>223748.2</c:v>
                </c:pt>
                <c:pt idx="20">
                  <c:v>313866.40000000002</c:v>
                </c:pt>
                <c:pt idx="21">
                  <c:v>95961.1</c:v>
                </c:pt>
                <c:pt idx="22">
                  <c:v>111761.9</c:v>
                </c:pt>
                <c:pt idx="23">
                  <c:v>40632.5</c:v>
                </c:pt>
                <c:pt idx="24">
                  <c:v>92943.2</c:v>
                </c:pt>
                <c:pt idx="25" formatCode="#.##00">
                  <c:v>99176</c:v>
                </c:pt>
                <c:pt idx="26">
                  <c:v>231480.1</c:v>
                </c:pt>
                <c:pt idx="27">
                  <c:v>8565.4</c:v>
                </c:pt>
                <c:pt idx="28">
                  <c:v>119917.8</c:v>
                </c:pt>
                <c:pt idx="29">
                  <c:v>405903.6</c:v>
                </c:pt>
                <c:pt idx="30">
                  <c:v>10791.2</c:v>
                </c:pt>
                <c:pt idx="31">
                  <c:v>3081.9</c:v>
                </c:pt>
                <c:pt idx="32" formatCode="#.##00">
                  <c:v>9619</c:v>
                </c:pt>
                <c:pt idx="33">
                  <c:v>6776.7</c:v>
                </c:pt>
                <c:pt idx="34">
                  <c:v>33559.800000000003</c:v>
                </c:pt>
              </c:numCache>
            </c:numRef>
          </c:yVal>
          <c:smooth val="0"/>
          <c:extLst>
            <c:ext xmlns:c16="http://schemas.microsoft.com/office/drawing/2014/chart" uri="{C3380CC4-5D6E-409C-BE32-E72D297353CC}">
              <c16:uniqueId val="{00000000-4454-4115-B308-D30BEAA2D35E}"/>
            </c:ext>
          </c:extLst>
        </c:ser>
        <c:dLbls>
          <c:dLblPos val="t"/>
          <c:showLegendKey val="0"/>
          <c:showVal val="1"/>
          <c:showCatName val="0"/>
          <c:showSerName val="0"/>
          <c:showPercent val="0"/>
          <c:showBubbleSize val="0"/>
        </c:dLbls>
        <c:axId val="1695741856"/>
        <c:axId val="1695720224"/>
      </c:scatterChart>
      <c:valAx>
        <c:axId val="1695741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95720224"/>
        <c:crosses val="autoZero"/>
        <c:crossBetween val="midCat"/>
      </c:valAx>
      <c:valAx>
        <c:axId val="169572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9574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571500</xdr:colOff>
      <xdr:row>3</xdr:row>
      <xdr:rowOff>0</xdr:rowOff>
    </xdr:from>
    <xdr:to>
      <xdr:col>8</xdr:col>
      <xdr:colOff>647700</xdr:colOff>
      <xdr:row>38</xdr:row>
      <xdr:rowOff>85725</xdr:rowOff>
    </xdr:to>
    <xdr:sp macro="" textlink="">
      <xdr:nvSpPr>
        <xdr:cNvPr id="2" name="TextBox 1"/>
        <xdr:cNvSpPr txBox="1"/>
      </xdr:nvSpPr>
      <xdr:spPr>
        <a:xfrm>
          <a:off x="571500" y="542925"/>
          <a:ext cx="5562600" cy="641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latin typeface="Times New Roman" panose="02020603050405020304" pitchFamily="18" charset="0"/>
              <a:cs typeface="Times New Roman" panose="02020603050405020304" pitchFamily="18" charset="0"/>
            </a:rPr>
            <a:t>Aplicatia 1-Regresie liniara</a:t>
          </a:r>
        </a:p>
        <a:p>
          <a:endParaRPr lang="en-US" sz="1100">
            <a:latin typeface="Times New Roman" panose="02020603050405020304" pitchFamily="18" charset="0"/>
            <a:cs typeface="Times New Roman" panose="02020603050405020304" pitchFamily="18" charset="0"/>
          </a:endParaRPr>
        </a:p>
        <a:p>
          <a:r>
            <a:rPr lang="ro-RO" sz="1100">
              <a:latin typeface="Times New Roman" panose="02020603050405020304" pitchFamily="18" charset="0"/>
              <a:cs typeface="Times New Roman" panose="02020603050405020304" pitchFamily="18" charset="0"/>
            </a:rPr>
            <a:t>Am ales regresie liniara simpla deoarece mi se pare una dintre cele mai utile si mai practice unelte din toata statistica de pana acum. Ea ne ajuta foarte clar sa intelegem cum o variabila, considerata cauza, reuseste sa influenteze si sa modifice o alta variabila din jurul nostru, pe care o consideram efect. In economie, dar si in gestionarea oricarei afaceri reale, este absolut esential sa intelegem aceste legaturi matematice stranse pentru a putea face previziuni corecte si cat mai sigure pentru viitor.</a:t>
          </a:r>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r>
            <a:rPr lang="ro-RO" sz="1100">
              <a:latin typeface="Times New Roman" panose="02020603050405020304" pitchFamily="18" charset="0"/>
              <a:cs typeface="Times New Roman" panose="02020603050405020304" pitchFamily="18" charset="0"/>
            </a:rPr>
            <a:t>Teoria ne spune ca ecuatia de regresie ne arata direct panta unei drepte. Ea ne ajuta practic sa calculam exact cu cat se va modifica valoarea variabilei rezultative atunci cand variabila cauza creste cu o singura unitate. Pe langa asta, cu ajutorul unor indicatori foarte importanti pe care ii vedem afisati in tabele, cum este coeficientul de determinatie R patrat, putem sa evaluam foarte usor calitatea intregului model de regresie. Mai exact, aflam cu precizie in ce procent este explicat efectul final de catre cauza pe care am ales-o noi sa o studiem in tabel</a:t>
          </a:r>
          <a:r>
            <a:rPr lang="en-US" sz="1100">
              <a:latin typeface="Times New Roman" panose="02020603050405020304" pitchFamily="18" charset="0"/>
              <a:cs typeface="Times New Roman" panose="02020603050405020304" pitchFamily="18" charset="0"/>
            </a:rPr>
            <a:t>.</a:t>
          </a:r>
        </a:p>
        <a:p>
          <a:endParaRPr lang="en-US" sz="1100">
            <a:latin typeface="Times New Roman" panose="02020603050405020304" pitchFamily="18" charset="0"/>
            <a:cs typeface="Times New Roman" panose="02020603050405020304" pitchFamily="18" charset="0"/>
          </a:endParaRPr>
        </a:p>
        <a:p>
          <a:r>
            <a:rPr lang="ro-RO" sz="1100">
              <a:latin typeface="Times New Roman" panose="02020603050405020304" pitchFamily="18" charset="0"/>
              <a:cs typeface="Times New Roman" panose="02020603050405020304" pitchFamily="18" charset="0"/>
            </a:rPr>
            <a:t>Ca exemplu personal si concret, m-am gandit la o situatie reala din viata de zi cu zi legata de o clinica de tratamente estetice pe care as putea sa o conduc. Daca as fi managerul acestei clinici, as dori sa stiu cum influenteaza numarul total de ore de pregatire si training pe care le fac angajatii mei nivelul incasarilor lunare ale firmei. In acest caz, variabila cauza ar fi orele de training ale personalului, iar efectul ar fi suma de bani castigata de clinica. As strange frumos datele din ultimul an si as aplica rapid modelul de regresie liniara simpla direct in Excel utilizand functia Data Analysis. </a:t>
          </a:r>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r>
            <a:rPr lang="ro-RO" sz="1100">
              <a:latin typeface="Times New Roman" panose="02020603050405020304" pitchFamily="18" charset="0"/>
              <a:cs typeface="Times New Roman" panose="02020603050405020304" pitchFamily="18" charset="0"/>
            </a:rPr>
            <a:t>Rezultatul rularii mi-ar arata un coeficient clar: de exemplu, daca pentru fiecare ora in plus de training, incasarile cresc in medie cu o anumita suma. Daca modelul este valid, adica testele statistice arata ca totul e in regula si avem un R patrat mare, inseamna ca ma pot baza pe aceasta relatie in viitor. In practica, utilitatea este uriasa deoarece as putea planifica bugetul de training stiind sigur ca investitia imi va aduce profit, scazand riscul de a pierde bani. </a:t>
          </a:r>
        </a:p>
        <a:p>
          <a:endParaRPr lang="ro-R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409575</xdr:colOff>
      <xdr:row>33</xdr:row>
      <xdr:rowOff>9525</xdr:rowOff>
    </xdr:from>
    <xdr:to>
      <xdr:col>12</xdr:col>
      <xdr:colOff>219075</xdr:colOff>
      <xdr:row>39</xdr:row>
      <xdr:rowOff>152400</xdr:rowOff>
    </xdr:to>
    <xdr:sp macro="" textlink="">
      <xdr:nvSpPr>
        <xdr:cNvPr id="2" name="TextBox 1"/>
        <xdr:cNvSpPr txBox="1"/>
      </xdr:nvSpPr>
      <xdr:spPr>
        <a:xfrm>
          <a:off x="6143625" y="9001125"/>
          <a:ext cx="4610100" cy="13430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Interpretare</a:t>
          </a:r>
        </a:p>
        <a:p>
          <a:endParaRPr lang="en-US" sz="1100"/>
        </a:p>
        <a:p>
          <a:r>
            <a:rPr lang="en-US" sz="1100"/>
            <a:t>Observam ca valoarea P-value two-tail</a:t>
          </a:r>
          <a:r>
            <a:rPr lang="en-US" sz="1100" baseline="0"/>
            <a:t> este &lt;0.00 se va respinge ipoteza nula si se va accepta ipoteza alternativa, ceea ce inseamna ca exista o diferenta semnificativa intre bunici si tineri privind dificultatea perceputa la examen.</a:t>
          </a:r>
          <a:endParaRPr lang="ro-RO" sz="1100"/>
        </a:p>
      </xdr:txBody>
    </xdr:sp>
    <xdr:clientData/>
  </xdr:twoCellAnchor>
  <xdr:twoCellAnchor>
    <xdr:from>
      <xdr:col>5</xdr:col>
      <xdr:colOff>571500</xdr:colOff>
      <xdr:row>52</xdr:row>
      <xdr:rowOff>161925</xdr:rowOff>
    </xdr:from>
    <xdr:to>
      <xdr:col>12</xdr:col>
      <xdr:colOff>381000</xdr:colOff>
      <xdr:row>58</xdr:row>
      <xdr:rowOff>0</xdr:rowOff>
    </xdr:to>
    <xdr:sp macro="" textlink="">
      <xdr:nvSpPr>
        <xdr:cNvPr id="3" name="TextBox 2"/>
        <xdr:cNvSpPr txBox="1"/>
      </xdr:nvSpPr>
      <xdr:spPr>
        <a:xfrm>
          <a:off x="6305550" y="12973050"/>
          <a:ext cx="4610100" cy="10382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CUM VALOAREA P</a:t>
          </a:r>
          <a:r>
            <a:rPr lang="en-US" sz="1100" baseline="0"/>
            <a:t> ESTE &lt;0,025 SE RESPINDE IPOTEZA NULA SI SE ACCEPTA IPOTEZA ALTERNATICA. CONCLUZIA: Variabilitatea prijinului oferit difera in mod semnificativ intre genuri.</a:t>
          </a:r>
          <a:endParaRPr lang="ro-RO"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5</xdr:row>
      <xdr:rowOff>219074</xdr:rowOff>
    </xdr:from>
    <xdr:to>
      <xdr:col>11</xdr:col>
      <xdr:colOff>400050</xdr:colOff>
      <xdr:row>20</xdr:row>
      <xdr:rowOff>85724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476251</xdr:colOff>
      <xdr:row>36</xdr:row>
      <xdr:rowOff>57150</xdr:rowOff>
    </xdr:from>
    <xdr:to>
      <xdr:col>14</xdr:col>
      <xdr:colOff>323851</xdr:colOff>
      <xdr:row>72</xdr:row>
      <xdr:rowOff>66675</xdr:rowOff>
    </xdr:to>
    <xdr:sp macro="" textlink="">
      <xdr:nvSpPr>
        <xdr:cNvPr id="4" name="TextBox 3"/>
        <xdr:cNvSpPr txBox="1"/>
      </xdr:nvSpPr>
      <xdr:spPr>
        <a:xfrm>
          <a:off x="3857626" y="8582025"/>
          <a:ext cx="7391400" cy="65341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1. Indicatorii Tendinței Centrale </a:t>
          </a:r>
          <a:endParaRPr lang="ro-RO">
            <a:effectLst/>
          </a:endParaRPr>
        </a:p>
        <a:p>
          <a:r>
            <a:rPr lang="en-US" sz="1100" b="0">
              <a:solidFill>
                <a:schemeClr val="dk1"/>
              </a:solidFill>
              <a:effectLst/>
              <a:latin typeface="+mn-lt"/>
              <a:ea typeface="+mn-ea"/>
              <a:cs typeface="+mn-cs"/>
            </a:rPr>
            <a:t>Media (Mean): </a:t>
          </a:r>
          <a:r>
            <a:rPr lang="en-US" sz="1100" i="0">
              <a:solidFill>
                <a:schemeClr val="dk1"/>
              </a:solidFill>
              <a:effectLst/>
              <a:latin typeface="+mn-lt"/>
              <a:ea typeface="+mn-ea"/>
              <a:cs typeface="+mn-cs"/>
            </a:rPr>
            <a:t>Interpretare:</a:t>
          </a:r>
          <a:r>
            <a:rPr lang="en-US" sz="1100">
              <a:solidFill>
                <a:schemeClr val="dk1"/>
              </a:solidFill>
              <a:effectLst/>
              <a:latin typeface="+mn-lt"/>
              <a:ea typeface="+mn-ea"/>
              <a:cs typeface="+mn-cs"/>
            </a:rPr>
            <a:t> Valoarea medie a Produsului Intern Brut pe o țară din eșantionul analizat este de aproximativ </a:t>
          </a:r>
          <a:r>
            <a:rPr lang="en-US" sz="1100" baseline="0">
              <a:solidFill>
                <a:schemeClr val="dk1"/>
              </a:solidFill>
              <a:effectLst/>
              <a:latin typeface="+mn-lt"/>
              <a:ea typeface="+mn-ea"/>
              <a:cs typeface="+mn-cs"/>
            </a:rPr>
            <a:t>547.965 </a:t>
          </a:r>
          <a:r>
            <a:rPr lang="en-US" sz="1100">
              <a:solidFill>
                <a:schemeClr val="dk1"/>
              </a:solidFill>
              <a:effectLst/>
              <a:latin typeface="+mn-lt"/>
              <a:ea typeface="+mn-ea"/>
              <a:cs typeface="+mn-cs"/>
            </a:rPr>
            <a:t>miliarde euro în anul 2021.</a:t>
          </a:r>
          <a:endParaRPr lang="ro-RO">
            <a:effectLst/>
          </a:endParaRPr>
        </a:p>
        <a:p>
          <a:r>
            <a:rPr lang="en-US" sz="1100" b="0">
              <a:solidFill>
                <a:schemeClr val="dk1"/>
              </a:solidFill>
              <a:effectLst/>
              <a:latin typeface="+mn-lt"/>
              <a:ea typeface="+mn-ea"/>
              <a:cs typeface="+mn-cs"/>
            </a:rPr>
            <a:t>Mediana (Median): </a:t>
          </a:r>
          <a:r>
            <a:rPr lang="en-US" sz="1100" i="0">
              <a:solidFill>
                <a:schemeClr val="dk1"/>
              </a:solidFill>
              <a:effectLst/>
              <a:latin typeface="+mn-lt"/>
              <a:ea typeface="+mn-ea"/>
              <a:cs typeface="+mn-cs"/>
            </a:rPr>
            <a:t>Interpretare: </a:t>
          </a:r>
          <a:r>
            <a:rPr lang="en-US" sz="1100">
              <a:solidFill>
                <a:schemeClr val="dk1"/>
              </a:solidFill>
              <a:effectLst/>
              <a:latin typeface="+mn-lt"/>
              <a:ea typeface="+mn-ea"/>
              <a:cs typeface="+mn-cs"/>
            </a:rPr>
            <a:t>Mediana împarte țările în două părți egale (50% din țări au un PIB mai mic și 50% au un PIB mai mare). Prin urmare, jumătate dintre țările analizate au un PIB sub</a:t>
          </a:r>
          <a:r>
            <a:rPr lang="en-US" sz="1100" baseline="0">
              <a:solidFill>
                <a:schemeClr val="dk1"/>
              </a:solidFill>
              <a:effectLst/>
              <a:latin typeface="+mn-lt"/>
              <a:ea typeface="+mn-ea"/>
              <a:cs typeface="+mn-cs"/>
            </a:rPr>
            <a:t> 242.260</a:t>
          </a:r>
          <a:r>
            <a:rPr lang="en-US" sz="1100">
              <a:solidFill>
                <a:schemeClr val="dk1"/>
              </a:solidFill>
              <a:effectLst/>
              <a:latin typeface="+mn-lt"/>
              <a:ea typeface="+mn-ea"/>
              <a:cs typeface="+mn-cs"/>
            </a:rPr>
            <a:t> miliarde euro, în timp ce cealaltă jumătate depășește această valoare.</a:t>
          </a:r>
          <a:endParaRPr lang="ro-RO">
            <a:effectLst/>
          </a:endParaRPr>
        </a:p>
        <a:p>
          <a:r>
            <a:rPr lang="en-US" sz="1100" b="0">
              <a:solidFill>
                <a:schemeClr val="dk1"/>
              </a:solidFill>
              <a:effectLst/>
              <a:latin typeface="+mn-lt"/>
              <a:ea typeface="+mn-ea"/>
              <a:cs typeface="+mn-cs"/>
            </a:rPr>
            <a:t>Modul (Mode): #N/A</a:t>
          </a:r>
          <a:r>
            <a:rPr lang="en-US" sz="1100" b="0" baseline="0">
              <a:solidFill>
                <a:schemeClr val="dk1"/>
              </a:solidFill>
              <a:effectLst/>
              <a:latin typeface="+mn-lt"/>
              <a:ea typeface="+mn-ea"/>
              <a:cs typeface="+mn-cs"/>
            </a:rPr>
            <a:t> </a:t>
          </a:r>
          <a:r>
            <a:rPr lang="en-US" sz="1100" i="0">
              <a:solidFill>
                <a:schemeClr val="dk1"/>
              </a:solidFill>
              <a:effectLst/>
              <a:latin typeface="+mn-lt"/>
              <a:ea typeface="+mn-ea"/>
              <a:cs typeface="+mn-cs"/>
            </a:rPr>
            <a:t>Interpretare: </a:t>
          </a:r>
          <a:r>
            <a:rPr lang="en-US" sz="1100">
              <a:solidFill>
                <a:schemeClr val="dk1"/>
              </a:solidFill>
              <a:effectLst/>
              <a:latin typeface="+mn-lt"/>
              <a:ea typeface="+mn-ea"/>
              <a:cs typeface="+mn-cs"/>
            </a:rPr>
            <a:t>Simbolul #N/A nu este o eroare în acest caz! El înseamnă </a:t>
          </a:r>
          <a:r>
            <a:rPr lang="en-US" sz="1100" i="1">
              <a:solidFill>
                <a:schemeClr val="dk1"/>
              </a:solidFill>
              <a:effectLst/>
              <a:latin typeface="+mn-lt"/>
              <a:ea typeface="+mn-ea"/>
              <a:cs typeface="+mn-cs"/>
            </a:rPr>
            <a:t>Not Available</a:t>
          </a:r>
          <a:r>
            <a:rPr lang="en-US" sz="1100">
              <a:solidFill>
                <a:schemeClr val="dk1"/>
              </a:solidFill>
              <a:effectLst/>
              <a:latin typeface="+mn-lt"/>
              <a:ea typeface="+mn-ea"/>
              <a:cs typeface="+mn-cs"/>
            </a:rPr>
            <a:t> și apare deoarece valorile PIB-ului sunt exprimate în numere mari cu zecimale și nu există nicio țară care să aibă exact aceeași valoare repetată. Seria este </a:t>
          </a:r>
          <a:r>
            <a:rPr lang="en-US" sz="1100" b="0">
              <a:solidFill>
                <a:schemeClr val="dk1"/>
              </a:solidFill>
              <a:effectLst/>
              <a:latin typeface="+mn-lt"/>
              <a:ea typeface="+mn-ea"/>
              <a:cs typeface="+mn-cs"/>
            </a:rPr>
            <a:t>amodală.</a:t>
          </a:r>
          <a:endParaRPr lang="ro-RO" b="0">
            <a:effectLst/>
          </a:endParaRPr>
        </a:p>
        <a:p>
          <a:r>
            <a:rPr lang="en-US" sz="1100" b="0">
              <a:solidFill>
                <a:schemeClr val="dk1"/>
              </a:solidFill>
              <a:effectLst/>
              <a:latin typeface="+mn-lt"/>
              <a:ea typeface="+mn-ea"/>
              <a:cs typeface="+mn-cs"/>
            </a:rPr>
            <a:t>Forma distribuției: </a:t>
          </a:r>
          <a:r>
            <a:rPr lang="en-US" sz="1100">
              <a:solidFill>
                <a:schemeClr val="dk1"/>
              </a:solidFill>
              <a:effectLst/>
              <a:latin typeface="+mn-lt"/>
              <a:ea typeface="+mn-ea"/>
              <a:cs typeface="+mn-cs"/>
            </a:rPr>
            <a:t>Deoarece </a:t>
          </a:r>
          <a:r>
            <a:rPr lang="en-US" sz="1100" b="0">
              <a:solidFill>
                <a:schemeClr val="dk1"/>
              </a:solidFill>
              <a:effectLst/>
              <a:latin typeface="+mn-lt"/>
              <a:ea typeface="+mn-ea"/>
              <a:cs typeface="+mn-cs"/>
            </a:rPr>
            <a:t>Media &gt; Mediana </a:t>
          </a:r>
          <a:r>
            <a:rPr lang="en-US" sz="1100">
              <a:solidFill>
                <a:schemeClr val="dk1"/>
              </a:solidFill>
              <a:effectLst/>
              <a:latin typeface="+mn-lt"/>
              <a:ea typeface="+mn-ea"/>
              <a:cs typeface="+mn-cs"/>
            </a:rPr>
            <a:t>avem o distribuție </a:t>
          </a:r>
          <a:r>
            <a:rPr lang="en-US" sz="1100" b="0">
              <a:solidFill>
                <a:schemeClr val="dk1"/>
              </a:solidFill>
              <a:effectLst/>
              <a:latin typeface="+mn-lt"/>
              <a:ea typeface="+mn-ea"/>
              <a:cs typeface="+mn-cs"/>
            </a:rPr>
            <a:t>puternic asimetrică la dreapta (pozitivă). Asta înseamnă economic că majoritatea țărilor au un PIB mic-mediu, iar media este „trasă” în sus de câteva economii foarte mari.</a:t>
          </a:r>
          <a:endParaRPr lang="ro-RO" b="0">
            <a:effectLst/>
          </a:endParaRPr>
        </a:p>
        <a:p>
          <a:r>
            <a:rPr lang="en-US" sz="1100" b="1">
              <a:solidFill>
                <a:schemeClr val="dk1"/>
              </a:solidFill>
              <a:effectLst/>
              <a:latin typeface="+mn-lt"/>
              <a:ea typeface="+mn-ea"/>
              <a:cs typeface="+mn-cs"/>
            </a:rPr>
            <a:t>2. Indicatorii Variației </a:t>
          </a:r>
          <a:endParaRPr lang="ro-RO">
            <a:effectLst/>
          </a:endParaRPr>
        </a:p>
        <a:p>
          <a:r>
            <a:rPr lang="en-US" sz="1100" b="0" i="0">
              <a:solidFill>
                <a:schemeClr val="dk1"/>
              </a:solidFill>
              <a:effectLst/>
              <a:latin typeface="+mn-lt"/>
              <a:ea typeface="+mn-ea"/>
              <a:cs typeface="+mn-cs"/>
            </a:rPr>
            <a:t>Amplitudinea (Range): Interpretare: Reprezintă diferența dintre cel mai mare și cel mai mic PIB din serie. Ne arată un decalaj economic uriaș între extreme.</a:t>
          </a:r>
          <a:endParaRPr lang="ro-RO" b="0" i="0">
            <a:effectLst/>
          </a:endParaRPr>
        </a:p>
        <a:p>
          <a:r>
            <a:rPr lang="en-US" sz="1100" b="0" i="0">
              <a:solidFill>
                <a:schemeClr val="dk1"/>
              </a:solidFill>
              <a:effectLst/>
              <a:latin typeface="+mn-lt"/>
              <a:ea typeface="+mn-ea"/>
              <a:cs typeface="+mn-cs"/>
            </a:rPr>
            <a:t>Minimul (Minimum): 166.76 Mil. euro</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(Cea mai mică economie din set)</a:t>
          </a:r>
          <a:endParaRPr lang="ro-RO" b="0" i="0">
            <a:effectLst/>
          </a:endParaRPr>
        </a:p>
        <a:p>
          <a:r>
            <a:rPr lang="en-US" sz="1100" b="0" i="0">
              <a:solidFill>
                <a:schemeClr val="dk1"/>
              </a:solidFill>
              <a:effectLst/>
              <a:latin typeface="+mn-lt"/>
              <a:ea typeface="+mn-ea"/>
              <a:cs typeface="+mn-cs"/>
            </a:rPr>
            <a:t>Maximul (Maximum):</a:t>
          </a:r>
          <a:r>
            <a:rPr lang="en-US" sz="1100" b="0" i="0" baseline="0">
              <a:solidFill>
                <a:schemeClr val="dk1"/>
              </a:solidFill>
              <a:effectLst/>
              <a:latin typeface="+mn-lt"/>
              <a:ea typeface="+mn-ea"/>
              <a:cs typeface="+mn-cs"/>
            </a:rPr>
            <a:t> 367.646 Mil. euro </a:t>
          </a:r>
          <a:r>
            <a:rPr lang="en-US" sz="1100" b="0" i="0">
              <a:solidFill>
                <a:schemeClr val="dk1"/>
              </a:solidFill>
              <a:effectLst/>
              <a:latin typeface="+mn-lt"/>
              <a:ea typeface="+mn-ea"/>
              <a:cs typeface="+mn-cs"/>
            </a:rPr>
            <a:t>(Cea mai mare economie din set)</a:t>
          </a:r>
          <a:endParaRPr lang="ro-RO" b="0" i="0">
            <a:effectLst/>
          </a:endParaRPr>
        </a:p>
        <a:p>
          <a:r>
            <a:rPr lang="en-US" sz="1100" b="0" i="0">
              <a:solidFill>
                <a:schemeClr val="dk1"/>
              </a:solidFill>
              <a:effectLst/>
              <a:latin typeface="+mn-lt"/>
              <a:ea typeface="+mn-ea"/>
              <a:cs typeface="+mn-cs"/>
            </a:rPr>
            <a:t>Abaterea Standard (Standard Deviation): Interpretare: În medie, valorile individuale ale PIB-ului țărilor se abat de la media grupului cu aproximativ 857.256 </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miliarde euro.</a:t>
          </a:r>
          <a:endParaRPr lang="ro-RO" b="0" i="0">
            <a:effectLst/>
          </a:endParaRPr>
        </a:p>
        <a:p>
          <a:r>
            <a:rPr lang="en-US" sz="1100" b="0" i="0">
              <a:solidFill>
                <a:schemeClr val="dk1"/>
              </a:solidFill>
              <a:effectLst/>
              <a:latin typeface="+mn-lt"/>
              <a:ea typeface="+mn-ea"/>
              <a:cs typeface="+mn-cs"/>
            </a:rPr>
            <a:t>Interpretare economică bazată pe coef</a:t>
          </a:r>
          <a:r>
            <a:rPr lang="en-US" sz="1100" b="0" i="0" baseline="0">
              <a:solidFill>
                <a:schemeClr val="dk1"/>
              </a:solidFill>
              <a:effectLst/>
              <a:latin typeface="+mn-lt"/>
              <a:ea typeface="+mn-ea"/>
              <a:cs typeface="+mn-cs"/>
            </a:rPr>
            <a:t> de var</a:t>
          </a:r>
          <a:r>
            <a:rPr lang="en-US" sz="1100" b="0" i="0">
              <a:solidFill>
                <a:schemeClr val="dk1"/>
              </a:solidFill>
              <a:effectLst/>
              <a:latin typeface="+mn-lt"/>
              <a:ea typeface="+mn-ea"/>
              <a:cs typeface="+mn-cs"/>
            </a:rPr>
            <a:t>:</a:t>
          </a:r>
          <a:endParaRPr lang="ro-RO" b="0" i="0">
            <a:effectLst/>
          </a:endParaRPr>
        </a:p>
        <a:p>
          <a:r>
            <a:rPr lang="en-US" sz="1100" b="0" i="0">
              <a:solidFill>
                <a:schemeClr val="dk1"/>
              </a:solidFill>
              <a:effectLst/>
              <a:latin typeface="+mn-lt"/>
              <a:ea typeface="+mn-ea"/>
              <a:cs typeface="+mn-cs"/>
            </a:rPr>
            <a:t>Deoarece v&lt;35 fiind egal cu 15,64% colectivitatea omogena media e reprez imprastierrea datelor este mica.</a:t>
          </a:r>
          <a:endParaRPr lang="ro-RO" b="0" i="0">
            <a:effectLst/>
          </a:endParaRPr>
        </a:p>
        <a:p>
          <a:r>
            <a:rPr lang="en-US" sz="1100" b="1" i="0">
              <a:solidFill>
                <a:schemeClr val="dk1"/>
              </a:solidFill>
              <a:effectLst/>
              <a:latin typeface="+mn-lt"/>
              <a:ea typeface="+mn-ea"/>
              <a:cs typeface="+mn-cs"/>
            </a:rPr>
            <a:t>3. Indicatorii Formei Distribuției</a:t>
          </a:r>
          <a:endParaRPr lang="ro-RO" b="1" i="0">
            <a:effectLst/>
          </a:endParaRPr>
        </a:p>
        <a:p>
          <a:r>
            <a:rPr lang="en-US" sz="1100" b="0" i="0">
              <a:solidFill>
                <a:schemeClr val="dk1"/>
              </a:solidFill>
              <a:effectLst/>
              <a:latin typeface="+mn-lt"/>
              <a:ea typeface="+mn-ea"/>
              <a:cs typeface="+mn-cs"/>
            </a:rPr>
            <a:t>Skewness (Coeficientul de asimetrie)Interpretare: Valoarea este pozitivă fiind egala cu 2,59 și clar mai mare decât 0, ceea ce confirmă matematic asimetria pronunțată la dreapta. Avem o concentrație de țări cu valori mici și o „coadă” lungă spre valorile mari (marile puteri economice).</a:t>
          </a:r>
          <a:endParaRPr lang="ro-RO" b="0" i="0">
            <a:effectLst/>
          </a:endParaRPr>
        </a:p>
        <a:p>
          <a:r>
            <a:rPr lang="en-US" sz="1100" b="0" i="0">
              <a:solidFill>
                <a:schemeClr val="dk1"/>
              </a:solidFill>
              <a:effectLst/>
              <a:latin typeface="+mn-lt"/>
              <a:ea typeface="+mn-ea"/>
              <a:cs typeface="+mn-cs"/>
            </a:rPr>
            <a:t>Kurtosis (Coeficientul de boltire)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Interpretare: Valoarea este mult mai mare decât 3 fiind egala cu 6,88(cât are o distribuție normală standard). Distribuția este puternic leptocurtică/platocurtica, ceea ce înseamnă că are un vârf foarte înalt în zona valorilor mici și „cozi” grele extreme mari.</a:t>
          </a:r>
          <a:endParaRPr lang="ro-RO" b="0" i="0">
            <a:effectLst/>
          </a:endParaRPr>
        </a:p>
        <a:p>
          <a:r>
            <a:rPr lang="en-US" sz="1100" b="0" i="0">
              <a:solidFill>
                <a:schemeClr val="dk1"/>
              </a:solidFill>
              <a:effectLst/>
              <a:latin typeface="+mn-lt"/>
              <a:ea typeface="+mn-ea"/>
              <a:cs typeface="+mn-cs"/>
            </a:rPr>
            <a:t>Suma: 547.965 Mil. euro Acesta este PIB-ul total cumulat al tuturor celor 36 de entități din tabel în anul 2021.</a:t>
          </a:r>
          <a:endParaRPr lang="ro-RO" b="0" i="0">
            <a:effectLst/>
          </a:endParaRPr>
        </a:p>
        <a:p>
          <a:r>
            <a:rPr lang="en-US" sz="1100" b="0" i="0">
              <a:solidFill>
                <a:schemeClr val="dk1"/>
              </a:solidFill>
              <a:effectLst/>
              <a:latin typeface="+mn-lt"/>
              <a:ea typeface="+mn-ea"/>
              <a:cs typeface="+mn-cs"/>
            </a:rPr>
            <a:t>Standard Error (Eroarea standard): In</a:t>
          </a:r>
          <a:r>
            <a:rPr lang="en-US" sz="1100" b="0" i="0" baseline="0">
              <a:solidFill>
                <a:schemeClr val="dk1"/>
              </a:solidFill>
              <a:effectLst/>
              <a:latin typeface="+mn-lt"/>
              <a:ea typeface="+mn-ea"/>
              <a:cs typeface="+mn-cs"/>
            </a:rPr>
            <a:t> valoare de 164.979 Mil. euro</a:t>
          </a:r>
          <a:r>
            <a:rPr lang="en-US" sz="1100" b="0" i="0">
              <a:solidFill>
                <a:schemeClr val="dk1"/>
              </a:solidFill>
              <a:effectLst/>
              <a:latin typeface="+mn-lt"/>
              <a:ea typeface="+mn-ea"/>
              <a:cs typeface="+mn-cs"/>
            </a:rPr>
            <a:t>Măsoară precizia mediei de eșantion. Ne arată cât de mult ar varia media dacă am extrage în mod repetat eșantioane de aceeași mărime.</a:t>
          </a:r>
          <a:endParaRPr lang="ro-RO" b="0" i="0">
            <a:effectLst/>
          </a:endParaRPr>
        </a:p>
        <a:p>
          <a:endParaRPr lang="ro-RO" sz="1100" i="0"/>
        </a:p>
      </xdr:txBody>
    </xdr:sp>
    <xdr:clientData/>
  </xdr:twoCellAnchor>
  <xdr:twoCellAnchor>
    <xdr:from>
      <xdr:col>0</xdr:col>
      <xdr:colOff>942975</xdr:colOff>
      <xdr:row>58</xdr:row>
      <xdr:rowOff>171450</xdr:rowOff>
    </xdr:from>
    <xdr:to>
      <xdr:col>3</xdr:col>
      <xdr:colOff>57150</xdr:colOff>
      <xdr:row>72</xdr:row>
      <xdr:rowOff>47625</xdr:rowOff>
    </xdr:to>
    <xdr:sp macro="" textlink="">
      <xdr:nvSpPr>
        <xdr:cNvPr id="5" name="TextBox 4"/>
        <xdr:cNvSpPr txBox="1"/>
      </xdr:nvSpPr>
      <xdr:spPr>
        <a:xfrm>
          <a:off x="942975" y="12687300"/>
          <a:ext cx="2495550" cy="24098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a:t>
          </a:r>
          <a:r>
            <a:rPr lang="en-US" sz="1100" baseline="0"/>
            <a:t> o probabilitate de 95% garantata de valoarea z=1,96 putem afirma ca media reala a PIB-ului pentru UE  se va incadra intre 224,606 milioane euro si 871,324 milioane euro in anul 2021.</a:t>
          </a:r>
          <a:endParaRPr lang="ro-RO"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600074</xdr:colOff>
      <xdr:row>51</xdr:row>
      <xdr:rowOff>152399</xdr:rowOff>
    </xdr:from>
    <xdr:to>
      <xdr:col>7</xdr:col>
      <xdr:colOff>619125</xdr:colOff>
      <xdr:row>79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657225</xdr:colOff>
      <xdr:row>80</xdr:row>
      <xdr:rowOff>9525</xdr:rowOff>
    </xdr:from>
    <xdr:to>
      <xdr:col>4</xdr:col>
      <xdr:colOff>476250</xdr:colOff>
      <xdr:row>83</xdr:row>
      <xdr:rowOff>57150</xdr:rowOff>
    </xdr:to>
    <xdr:sp macro="" textlink="">
      <xdr:nvSpPr>
        <xdr:cNvPr id="3" name="TextBox 2"/>
        <xdr:cNvSpPr txBox="1"/>
      </xdr:nvSpPr>
      <xdr:spPr>
        <a:xfrm>
          <a:off x="657225" y="17249775"/>
          <a:ext cx="4724400" cy="5905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Vom avea o aglomerare de puncte in coltul din stanga jos deoarece avem multe valori &lt;200.000, atat import cat si export.</a:t>
          </a:r>
          <a:endParaRPr lang="ro-RO" sz="1100"/>
        </a:p>
      </xdr:txBody>
    </xdr:sp>
    <xdr:clientData/>
  </xdr:twoCellAnchor>
  <xdr:twoCellAnchor>
    <xdr:from>
      <xdr:col>4</xdr:col>
      <xdr:colOff>9525</xdr:colOff>
      <xdr:row>83</xdr:row>
      <xdr:rowOff>161925</xdr:rowOff>
    </xdr:from>
    <xdr:to>
      <xdr:col>11</xdr:col>
      <xdr:colOff>9525</xdr:colOff>
      <xdr:row>99</xdr:row>
      <xdr:rowOff>28575</xdr:rowOff>
    </xdr:to>
    <xdr:sp macro="" textlink="">
      <xdr:nvSpPr>
        <xdr:cNvPr id="4" name="TextBox 3"/>
        <xdr:cNvSpPr txBox="1"/>
      </xdr:nvSpPr>
      <xdr:spPr>
        <a:xfrm>
          <a:off x="4914900" y="18002250"/>
          <a:ext cx="5857875" cy="27622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1. Coeficientul de corelație (Multiple R)</a:t>
          </a:r>
          <a:endParaRPr lang="ro-RO" b="0">
            <a:effectLst/>
          </a:endParaRPr>
        </a:p>
        <a:p>
          <a:r>
            <a:rPr lang="en-US" sz="1100" b="0">
              <a:solidFill>
                <a:schemeClr val="dk1"/>
              </a:solidFill>
              <a:effectLst/>
              <a:latin typeface="+mn-lt"/>
              <a:ea typeface="+mn-ea"/>
              <a:cs typeface="+mn-cs"/>
            </a:rPr>
            <a:t>Interpretare: Între volumul </a:t>
          </a:r>
          <a:r>
            <a:rPr lang="en-US" sz="1100" b="0" baseline="0">
              <a:solidFill>
                <a:schemeClr val="dk1"/>
              </a:solidFill>
              <a:effectLst/>
              <a:latin typeface="+mn-lt"/>
              <a:ea typeface="+mn-ea"/>
              <a:cs typeface="+mn-cs"/>
            </a:rPr>
            <a:t> Exporturilor </a:t>
          </a:r>
          <a:r>
            <a:rPr lang="en-US" sz="1100" b="0">
              <a:solidFill>
                <a:schemeClr val="dk1"/>
              </a:solidFill>
              <a:effectLst/>
              <a:latin typeface="+mn-lt"/>
              <a:ea typeface="+mn-ea"/>
              <a:cs typeface="+mn-cs"/>
            </a:rPr>
            <a:t> si cel al Importurilor</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există o legatura directa si extrem de puternică. Acest lucru înseamnă că cele două variabile evoluează în același sens: când importurile cresc, cresc și exporturile.</a:t>
          </a:r>
          <a:endParaRPr lang="ro-RO" b="0">
            <a:effectLst/>
          </a:endParaRPr>
        </a:p>
        <a:p>
          <a:r>
            <a:rPr lang="en-US" sz="1100" b="0">
              <a:solidFill>
                <a:schemeClr val="dk1"/>
              </a:solidFill>
              <a:effectLst/>
              <a:latin typeface="+mn-lt"/>
              <a:ea typeface="+mn-ea"/>
              <a:cs typeface="+mn-cs"/>
            </a:rPr>
            <a:t>0,99</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&gt; 0,75 de aici rezulta legătura puternică.</a:t>
          </a:r>
          <a:endParaRPr lang="ro-RO" b="0">
            <a:effectLst/>
          </a:endParaRPr>
        </a:p>
        <a:p>
          <a:r>
            <a:rPr lang="en-US" sz="1100" b="0">
              <a:solidFill>
                <a:schemeClr val="dk1"/>
              </a:solidFill>
              <a:effectLst/>
              <a:latin typeface="+mn-lt"/>
              <a:ea typeface="+mn-ea"/>
              <a:cs typeface="+mn-cs"/>
            </a:rPr>
            <a:t>2. Raportul de determinație (R Square)</a:t>
          </a:r>
          <a:endParaRPr lang="ro-RO" b="0">
            <a:effectLst/>
          </a:endParaRPr>
        </a:p>
        <a:p>
          <a:r>
            <a:rPr lang="en-US" sz="1100" b="0">
              <a:solidFill>
                <a:schemeClr val="dk1"/>
              </a:solidFill>
              <a:effectLst/>
              <a:latin typeface="+mn-lt"/>
              <a:ea typeface="+mn-ea"/>
              <a:cs typeface="+mn-cs"/>
            </a:rPr>
            <a:t>Interpretare: 97,90% din variația Exporturilor este explicată de variația Importurilor. Modelul este extrem de precis, doar un procent foarte mic (100%-97,98%=2,02%) fiind influențat de alți factori externi nesurprinși de model.</a:t>
          </a:r>
          <a:endParaRPr lang="ro-RO" b="0">
            <a:effectLst/>
          </a:endParaRPr>
        </a:p>
        <a:p>
          <a:r>
            <a:rPr lang="en-US" sz="1100" b="0">
              <a:solidFill>
                <a:schemeClr val="dk1"/>
              </a:solidFill>
              <a:effectLst/>
              <a:latin typeface="+mn-lt"/>
              <a:ea typeface="+mn-ea"/>
              <a:cs typeface="+mn-cs"/>
            </a:rPr>
            <a:t>3. Covarianța (Valoare Pozitivă)</a:t>
          </a:r>
          <a:endParaRPr lang="ro-RO" b="0">
            <a:effectLst/>
          </a:endParaRPr>
        </a:p>
        <a:p>
          <a:r>
            <a:rPr lang="en-US" sz="1100" b="0">
              <a:solidFill>
                <a:schemeClr val="dk1"/>
              </a:solidFill>
              <a:effectLst/>
              <a:latin typeface="+mn-lt"/>
              <a:ea typeface="+mn-ea"/>
              <a:cs typeface="+mn-cs"/>
            </a:rPr>
            <a:t>Interpretare: Valoarea pozitiva a covarianței întărește concluzia de mai sus, confirmând din punct de vedere statistic că variabilele tind să crească sau să scadă împreună.</a:t>
          </a:r>
          <a:endParaRPr lang="ro-RO" b="0">
            <a:effectLst/>
          </a:endParaRPr>
        </a:p>
        <a:p>
          <a:endParaRPr lang="ro-RO" sz="1100"/>
        </a:p>
      </xdr:txBody>
    </xdr:sp>
    <xdr:clientData/>
  </xdr:twoCellAnchor>
  <xdr:twoCellAnchor>
    <xdr:from>
      <xdr:col>0</xdr:col>
      <xdr:colOff>657225</xdr:colOff>
      <xdr:row>88</xdr:row>
      <xdr:rowOff>142875</xdr:rowOff>
    </xdr:from>
    <xdr:to>
      <xdr:col>3</xdr:col>
      <xdr:colOff>190500</xdr:colOff>
      <xdr:row>98</xdr:row>
      <xdr:rowOff>171450</xdr:rowOff>
    </xdr:to>
    <xdr:sp macro="" textlink="">
      <xdr:nvSpPr>
        <xdr:cNvPr id="5" name="TextBox 4"/>
        <xdr:cNvSpPr txBox="1"/>
      </xdr:nvSpPr>
      <xdr:spPr>
        <a:xfrm>
          <a:off x="657225" y="18888075"/>
          <a:ext cx="3162300" cy="18383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Validitatea modelului: Deoarece Significance F=0</a:t>
          </a:r>
          <a:r>
            <a:rPr lang="en-US" sz="1100" baseline="0"/>
            <a:t> este mai mica decat pragul de semnificatie alfa=0.05 se respinge ipoteza nula si se accepta ipoteza alternativa. Prin urmare modelul de regresie liniara este valid si poate fi utilizat pentru analize si prognoze economice cum vom realiza si la ultimul punct.</a:t>
          </a:r>
          <a:endParaRPr lang="ro-RO" sz="1100"/>
        </a:p>
      </xdr:txBody>
    </xdr:sp>
    <xdr:clientData/>
  </xdr:twoCellAnchor>
  <xdr:twoCellAnchor>
    <xdr:from>
      <xdr:col>1</xdr:col>
      <xdr:colOff>19050</xdr:colOff>
      <xdr:row>101</xdr:row>
      <xdr:rowOff>0</xdr:rowOff>
    </xdr:from>
    <xdr:to>
      <xdr:col>5</xdr:col>
      <xdr:colOff>485775</xdr:colOff>
      <xdr:row>108</xdr:row>
      <xdr:rowOff>66675</xdr:rowOff>
    </xdr:to>
    <xdr:sp macro="" textlink="">
      <xdr:nvSpPr>
        <xdr:cNvPr id="6" name="TextBox 5"/>
        <xdr:cNvSpPr txBox="1"/>
      </xdr:nvSpPr>
      <xdr:spPr>
        <a:xfrm>
          <a:off x="704850" y="21097875"/>
          <a:ext cx="5372100" cy="1333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Semnificatia parametrilor modelului</a:t>
          </a:r>
        </a:p>
        <a:p>
          <a:r>
            <a:rPr lang="ro-RO" sz="1100"/>
            <a:t>Deoarece P-value pt intercept este mai mic decât alpha = 0,05, parametrul </a:t>
          </a:r>
          <a:r>
            <a:rPr lang="en-US" sz="1100"/>
            <a:t>a</a:t>
          </a:r>
          <a:r>
            <a:rPr lang="en-US" sz="1100" baseline="0"/>
            <a:t> </a:t>
          </a:r>
          <a:r>
            <a:rPr lang="ro-RO" sz="1100"/>
            <a:t>este statistic semnificativ. P-value pt variabila Export =0.00 este mai mic decât alpha = 0,05, parametrul </a:t>
          </a:r>
          <a:r>
            <a:rPr lang="en-US" sz="1100"/>
            <a:t>b</a:t>
          </a:r>
          <a:r>
            <a:rPr lang="ro-RO" sz="1100"/>
            <a:t> este extrem de semnificativ. Asta înseamnă că Importurile au un impact real și garantat asupra evoluției Exporturilor.</a:t>
          </a:r>
        </a:p>
      </xdr:txBody>
    </xdr:sp>
    <xdr:clientData/>
  </xdr:twoCellAnchor>
  <xdr:twoCellAnchor>
    <xdr:from>
      <xdr:col>1</xdr:col>
      <xdr:colOff>47625</xdr:colOff>
      <xdr:row>109</xdr:row>
      <xdr:rowOff>133350</xdr:rowOff>
    </xdr:from>
    <xdr:to>
      <xdr:col>6</xdr:col>
      <xdr:colOff>914400</xdr:colOff>
      <xdr:row>126</xdr:row>
      <xdr:rowOff>47625</xdr:rowOff>
    </xdr:to>
    <xdr:sp macro="" textlink="">
      <xdr:nvSpPr>
        <xdr:cNvPr id="7" name="TextBox 6"/>
        <xdr:cNvSpPr txBox="1"/>
      </xdr:nvSpPr>
      <xdr:spPr>
        <a:xfrm>
          <a:off x="733425" y="22679025"/>
          <a:ext cx="6677025" cy="299085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Intensitatea legaturii celor doua variabile</a:t>
          </a:r>
        </a:p>
        <a:p>
          <a:pPr eaLnBrk="1" fontAlgn="auto" latinLnBrk="0" hangingPunct="1"/>
          <a:r>
            <a:rPr lang="en-US" sz="1100" b="0" i="0">
              <a:solidFill>
                <a:schemeClr val="dk1"/>
              </a:solidFill>
              <a:effectLst/>
              <a:latin typeface="+mn-lt"/>
              <a:ea typeface="+mn-ea"/>
              <a:cs typeface="+mn-cs"/>
            </a:rPr>
            <a:t>Coeficientul de corelație Pearson</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Multiple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R = 0,9894):</a:t>
          </a:r>
          <a:endParaRPr lang="ro-RO" b="0" i="0">
            <a:effectLst/>
          </a:endParaRPr>
        </a:p>
        <a:p>
          <a:r>
            <a:rPr lang="en-US" sz="1100" b="0" i="0">
              <a:solidFill>
                <a:schemeClr val="dk1"/>
              </a:solidFill>
              <a:effectLst/>
              <a:latin typeface="+mn-lt"/>
              <a:ea typeface="+mn-ea"/>
              <a:cs typeface="+mn-cs"/>
            </a:rPr>
            <a:t>Apreciere: Valoarea de 0,9894</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fiind foarte aproape de 1, arată că între volumul Importurilor și cel al Exporturilor există o legătură directă și extrem de puternică. (Pe măsura ce importurile cresc, cresc și exporturile).</a:t>
          </a:r>
          <a:endParaRPr lang="ro-RO" b="0" i="0">
            <a:effectLst/>
          </a:endParaRPr>
        </a:p>
        <a:p>
          <a:r>
            <a:rPr lang="en-US" sz="1100" b="0" i="0">
              <a:solidFill>
                <a:schemeClr val="dk1"/>
              </a:solidFill>
              <a:effectLst/>
              <a:latin typeface="+mn-lt"/>
              <a:ea typeface="+mn-ea"/>
              <a:cs typeface="+mn-cs"/>
            </a:rPr>
            <a:t>Raportul de determinație (R Square = 0,9789):</a:t>
          </a:r>
          <a:endParaRPr lang="ro-RO" b="0" i="0">
            <a:effectLst/>
          </a:endParaRPr>
        </a:p>
        <a:p>
          <a:r>
            <a:rPr lang="en-US" sz="1100" b="0" i="0">
              <a:solidFill>
                <a:schemeClr val="dk1"/>
              </a:solidFill>
              <a:effectLst/>
              <a:latin typeface="+mn-lt"/>
              <a:ea typeface="+mn-ea"/>
              <a:cs typeface="+mn-cs"/>
            </a:rPr>
            <a:t>Apreciere: Valoarea de 0,9789(adică 97,89%</a:t>
          </a:r>
          <a:r>
            <a:rPr lang="en-US" sz="1100" b="0" i="0" baseline="0">
              <a:solidFill>
                <a:schemeClr val="dk1"/>
              </a:solidFill>
              <a:effectLst/>
              <a:latin typeface="+mn-lt"/>
              <a:ea typeface="+mn-ea"/>
              <a:cs typeface="+mn-cs"/>
            </a:rPr>
            <a:t> ) </a:t>
          </a:r>
          <a:r>
            <a:rPr lang="en-US" sz="1100" b="0" i="0">
              <a:solidFill>
                <a:schemeClr val="dk1"/>
              </a:solidFill>
              <a:effectLst/>
              <a:latin typeface="+mn-lt"/>
              <a:ea typeface="+mn-ea"/>
              <a:cs typeface="+mn-cs"/>
            </a:rPr>
            <a:t>arată că </a:t>
          </a:r>
          <a:r>
            <a:rPr lang="en-US" sz="1100" b="0" i="0" baseline="0">
              <a:solidFill>
                <a:schemeClr val="dk1"/>
              </a:solidFill>
              <a:effectLst/>
              <a:latin typeface="+mn-lt"/>
              <a:ea typeface="+mn-ea"/>
              <a:cs typeface="+mn-cs"/>
            </a:rPr>
            <a:t> 97,89% </a:t>
          </a:r>
          <a:r>
            <a:rPr lang="en-US" sz="1100" b="0" i="0">
              <a:solidFill>
                <a:schemeClr val="dk1"/>
              </a:solidFill>
              <a:effectLst/>
              <a:latin typeface="+mn-lt"/>
              <a:ea typeface="+mn-ea"/>
              <a:cs typeface="+mn-cs"/>
            </a:rPr>
            <a:t>din variația totală a Exporturilor este determinată de variația Importurilor, modelul fiind extrem de reprezentativ. Restul de 2,02%</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reprezintă influența altor factori reziduali.</a:t>
          </a:r>
          <a:endParaRPr lang="ro-RO" b="0" i="0">
            <a:effectLst/>
          </a:endParaRPr>
        </a:p>
        <a:p>
          <a:r>
            <a:rPr lang="en-US" sz="1100" b="0" i="0">
              <a:solidFill>
                <a:schemeClr val="dk1"/>
              </a:solidFill>
              <a:effectLst/>
              <a:latin typeface="+mn-lt"/>
              <a:ea typeface="+mn-ea"/>
              <a:cs typeface="+mn-cs"/>
            </a:rPr>
            <a:t>Testarea semnificației acestora P value X</a:t>
          </a:r>
          <a:r>
            <a:rPr lang="en-US" sz="1100" b="0" i="0" baseline="0">
              <a:solidFill>
                <a:schemeClr val="dk1"/>
              </a:solidFill>
              <a:effectLst/>
              <a:latin typeface="+mn-lt"/>
              <a:ea typeface="+mn-ea"/>
              <a:cs typeface="+mn-cs"/>
            </a:rPr>
            <a:t> se compara cu P value dat alfa 0.05. </a:t>
          </a:r>
          <a:r>
            <a:rPr lang="en-US" sz="1100" b="0" i="0">
              <a:solidFill>
                <a:schemeClr val="dk1"/>
              </a:solidFill>
              <a:effectLst/>
              <a:latin typeface="+mn-lt"/>
              <a:ea typeface="+mn-ea"/>
              <a:cs typeface="+mn-cs"/>
            </a:rPr>
            <a:t>Deoarece valoarea P-value  de 0,047</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pentru variabila Export este mai mică decât pragul de semnificație alpha = 0,0, respingem ipoteza nulă</a:t>
          </a:r>
          <a:endParaRPr lang="ro-RO" b="0" i="0">
            <a:effectLst/>
          </a:endParaRPr>
        </a:p>
        <a:p>
          <a:r>
            <a:rPr lang="en-US" sz="1100" b="0" i="0">
              <a:solidFill>
                <a:schemeClr val="dk1"/>
              </a:solidFill>
              <a:effectLst/>
              <a:latin typeface="+mn-lt"/>
              <a:ea typeface="+mn-ea"/>
              <a:cs typeface="+mn-cs"/>
            </a:rPr>
            <a:t>Concluzia este că legătura dintre cele două variabile este statistic SEMNIFICATIVĂ, iar coeficientul de corelație calculat este garantat din punct de vedere statistic pentru un nivel de încredere de 95%.</a:t>
          </a:r>
          <a:endParaRPr lang="ro-RO" sz="1100"/>
        </a:p>
      </xdr:txBody>
    </xdr:sp>
    <xdr:clientData/>
  </xdr:twoCellAnchor>
  <xdr:twoCellAnchor>
    <xdr:from>
      <xdr:col>1</xdr:col>
      <xdr:colOff>47625</xdr:colOff>
      <xdr:row>127</xdr:row>
      <xdr:rowOff>57150</xdr:rowOff>
    </xdr:from>
    <xdr:to>
      <xdr:col>6</xdr:col>
      <xdr:colOff>666750</xdr:colOff>
      <xdr:row>134</xdr:row>
      <xdr:rowOff>28575</xdr:rowOff>
    </xdr:to>
    <xdr:sp macro="" textlink="">
      <xdr:nvSpPr>
        <xdr:cNvPr id="8" name="TextBox 7"/>
        <xdr:cNvSpPr txBox="1"/>
      </xdr:nvSpPr>
      <xdr:spPr>
        <a:xfrm>
          <a:off x="733425" y="25860375"/>
          <a:ext cx="6429375" cy="123825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a:t>
          </a:r>
          <a:r>
            <a:rPr lang="ro-RO" sz="1100"/>
            <a:t>redictie cu val de 6.500.500  FORECAST.LINEAR(X,Y)</a:t>
          </a:r>
        </a:p>
        <a:p>
          <a:r>
            <a:rPr lang="ro-RO" sz="1100"/>
            <a:t>Conform modelului de regresie liniară, dacă în anul 2026 valoarea exporturilor UE-27 va atinge pragul de 6.500.500 milioane euro, valoarea estimată a importurilor va fi de </a:t>
          </a:r>
          <a:r>
            <a:rPr lang="en-US" sz="1100"/>
            <a:t>5.445.754</a:t>
          </a:r>
          <a:r>
            <a:rPr lang="ro-RO" sz="1100"/>
            <a:t>  milioane euro.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0"/>
  <sheetViews>
    <sheetView workbookViewId="0">
      <selection activeCell="H17" sqref="H17"/>
    </sheetView>
  </sheetViews>
  <sheetFormatPr defaultRowHeight="14.25"/>
  <cols>
    <col min="2" max="2" width="25.5" customWidth="1"/>
    <col min="3" max="3" width="12.25" customWidth="1"/>
    <col min="4" max="4" width="17.875" customWidth="1"/>
    <col min="5" max="5" width="10.625" customWidth="1"/>
  </cols>
  <sheetData>
    <row r="1" spans="1:5" ht="18.75">
      <c r="A1" s="1"/>
      <c r="B1" s="2"/>
      <c r="C1" s="2"/>
      <c r="D1" s="2"/>
      <c r="E1" s="2"/>
    </row>
    <row r="2" spans="1:5" ht="18.75">
      <c r="A2" s="3" t="s">
        <v>0</v>
      </c>
      <c r="B2" s="4" t="s">
        <v>1</v>
      </c>
      <c r="C2" s="5"/>
      <c r="D2" s="5"/>
      <c r="E2" s="5"/>
    </row>
    <row r="3" spans="1:5" ht="18.75">
      <c r="A3" s="6"/>
      <c r="B3" s="7" t="s">
        <v>2</v>
      </c>
      <c r="C3" s="8"/>
      <c r="D3" s="8"/>
      <c r="E3" s="8"/>
    </row>
    <row r="4" spans="1:5" ht="18.75">
      <c r="A4" s="6"/>
      <c r="B4" s="8"/>
      <c r="C4" s="8"/>
      <c r="D4" s="8"/>
      <c r="E4" s="8"/>
    </row>
    <row r="5" spans="1:5" ht="18.75">
      <c r="A5" s="9" t="s">
        <v>3</v>
      </c>
      <c r="B5" s="10" t="s">
        <v>4</v>
      </c>
      <c r="C5" s="8"/>
      <c r="D5" s="8"/>
      <c r="E5" s="8"/>
    </row>
    <row r="6" spans="1:5" ht="18.75">
      <c r="A6" s="9"/>
      <c r="B6" s="10" t="s">
        <v>5</v>
      </c>
      <c r="C6" s="8"/>
      <c r="D6" s="8"/>
      <c r="E6" s="8"/>
    </row>
    <row r="7" spans="1:5" ht="18.75">
      <c r="A7" s="9"/>
      <c r="B7" s="10" t="s">
        <v>6</v>
      </c>
      <c r="C7" s="8"/>
      <c r="D7" s="8"/>
      <c r="E7" s="8"/>
    </row>
    <row r="8" spans="1:5" ht="18.75">
      <c r="A8" s="9"/>
      <c r="B8" s="11" t="s">
        <v>7</v>
      </c>
      <c r="C8" s="8"/>
      <c r="D8" s="8"/>
      <c r="E8" s="8"/>
    </row>
    <row r="9" spans="1:5" ht="18.75">
      <c r="A9" s="9"/>
      <c r="B9" s="11" t="s">
        <v>8</v>
      </c>
      <c r="C9" s="8"/>
      <c r="D9" s="8"/>
      <c r="E9" s="8"/>
    </row>
    <row r="10" spans="1:5" ht="18.75">
      <c r="A10" s="9" t="s">
        <v>3</v>
      </c>
      <c r="B10" s="12" t="s">
        <v>9</v>
      </c>
      <c r="C10" s="8"/>
      <c r="D10" s="8"/>
      <c r="E10" s="8"/>
    </row>
    <row r="11" spans="1:5" ht="18.75">
      <c r="A11" s="9"/>
      <c r="B11" s="13" t="s">
        <v>10</v>
      </c>
      <c r="C11" s="8"/>
      <c r="D11" s="8"/>
      <c r="E11" s="8"/>
    </row>
    <row r="12" spans="1:5" ht="18.75">
      <c r="A12" s="6"/>
      <c r="B12" s="13" t="s">
        <v>11</v>
      </c>
      <c r="C12" s="8"/>
      <c r="D12" s="8"/>
      <c r="E12" s="8"/>
    </row>
    <row r="13" spans="1:5" ht="18.75">
      <c r="A13" s="6"/>
      <c r="B13" s="11" t="s">
        <v>12</v>
      </c>
      <c r="C13" s="8"/>
      <c r="D13" s="8"/>
      <c r="E13" s="8"/>
    </row>
    <row r="14" spans="1:5" ht="18.75">
      <c r="A14" s="6"/>
      <c r="B14" s="11" t="s">
        <v>8</v>
      </c>
      <c r="C14" s="8"/>
      <c r="D14" s="8"/>
      <c r="E14" s="8"/>
    </row>
    <row r="15" spans="1:5" ht="18.75">
      <c r="A15" s="1"/>
      <c r="B15" s="2"/>
      <c r="C15" s="2"/>
      <c r="D15" s="2"/>
      <c r="E15" s="2"/>
    </row>
    <row r="16" spans="1:5" ht="157.5">
      <c r="B16" s="14" t="s">
        <v>13</v>
      </c>
      <c r="C16" s="14" t="s">
        <v>15</v>
      </c>
      <c r="D16" s="14" t="s">
        <v>13</v>
      </c>
      <c r="E16" s="14" t="s">
        <v>15</v>
      </c>
    </row>
    <row r="17" spans="2:9" ht="15.75">
      <c r="B17" s="15" t="s">
        <v>14</v>
      </c>
      <c r="C17" s="16">
        <v>9</v>
      </c>
      <c r="D17" s="21" t="s">
        <v>16</v>
      </c>
      <c r="E17" s="16">
        <v>8</v>
      </c>
      <c r="G17" t="s">
        <v>17</v>
      </c>
      <c r="H17">
        <f>_xlfn.VAR.S(C17:C33)</f>
        <v>7.970588235294116</v>
      </c>
    </row>
    <row r="18" spans="2:9" ht="15.75">
      <c r="B18" s="15" t="s">
        <v>14</v>
      </c>
      <c r="C18" s="17">
        <v>10</v>
      </c>
      <c r="D18" s="21" t="s">
        <v>16</v>
      </c>
      <c r="E18" s="17">
        <v>10</v>
      </c>
      <c r="G18" t="s">
        <v>18</v>
      </c>
      <c r="H18">
        <f>_xlfn.VAR.S(E17:E320)</f>
        <v>3.1637028834462373</v>
      </c>
    </row>
    <row r="19" spans="2:9" ht="15.75">
      <c r="B19" s="15" t="s">
        <v>14</v>
      </c>
      <c r="C19" s="16">
        <v>8</v>
      </c>
      <c r="D19" s="21" t="s">
        <v>16</v>
      </c>
      <c r="E19" s="16">
        <v>8</v>
      </c>
    </row>
    <row r="20" spans="2:9" ht="15.75">
      <c r="B20" s="15" t="s">
        <v>14</v>
      </c>
      <c r="C20" s="17">
        <v>5</v>
      </c>
      <c r="D20" s="21" t="s">
        <v>16</v>
      </c>
      <c r="E20" s="17">
        <v>9</v>
      </c>
    </row>
    <row r="21" spans="2:9" ht="15.75">
      <c r="B21" s="15" t="s">
        <v>14</v>
      </c>
      <c r="C21" s="16">
        <v>7</v>
      </c>
      <c r="D21" s="21" t="s">
        <v>16</v>
      </c>
      <c r="E21" s="16">
        <v>10</v>
      </c>
      <c r="G21" t="s">
        <v>19</v>
      </c>
    </row>
    <row r="22" spans="2:9" ht="16.5" thickBot="1">
      <c r="B22" s="15" t="s">
        <v>14</v>
      </c>
      <c r="C22" s="17">
        <v>10</v>
      </c>
      <c r="D22" s="21" t="s">
        <v>16</v>
      </c>
      <c r="E22" s="19">
        <v>9</v>
      </c>
    </row>
    <row r="23" spans="2:9" ht="15.75">
      <c r="B23" s="15" t="s">
        <v>14</v>
      </c>
      <c r="C23" s="16">
        <v>4</v>
      </c>
      <c r="D23" s="21" t="s">
        <v>16</v>
      </c>
      <c r="E23" s="19">
        <v>6</v>
      </c>
      <c r="G23" s="27"/>
      <c r="H23" s="27" t="s">
        <v>15</v>
      </c>
      <c r="I23" s="27" t="s">
        <v>15</v>
      </c>
    </row>
    <row r="24" spans="2:9" ht="15.75">
      <c r="B24" s="15" t="s">
        <v>14</v>
      </c>
      <c r="C24" s="17">
        <v>6</v>
      </c>
      <c r="D24" s="21" t="s">
        <v>16</v>
      </c>
      <c r="E24" s="19">
        <v>4</v>
      </c>
      <c r="G24" s="25" t="s">
        <v>20</v>
      </c>
      <c r="H24" s="25">
        <v>7.2051282051282053</v>
      </c>
      <c r="I24" s="25">
        <v>5.9638157894736841</v>
      </c>
    </row>
    <row r="25" spans="2:9" ht="15.75">
      <c r="B25" s="15" t="s">
        <v>14</v>
      </c>
      <c r="C25" s="16">
        <v>8</v>
      </c>
      <c r="D25" s="21" t="s">
        <v>16</v>
      </c>
      <c r="E25" s="18">
        <v>7</v>
      </c>
      <c r="G25" s="25" t="s">
        <v>21</v>
      </c>
      <c r="H25" s="25">
        <v>7.9705880000000002</v>
      </c>
      <c r="I25" s="25">
        <v>3.1637029999999999</v>
      </c>
    </row>
    <row r="26" spans="2:9" ht="15.75">
      <c r="B26" s="15" t="s">
        <v>14</v>
      </c>
      <c r="C26" s="17">
        <v>9</v>
      </c>
      <c r="D26" s="21" t="s">
        <v>16</v>
      </c>
      <c r="E26" s="19">
        <v>7</v>
      </c>
      <c r="G26" s="25" t="s">
        <v>22</v>
      </c>
      <c r="H26" s="25">
        <v>156</v>
      </c>
      <c r="I26" s="25">
        <v>304</v>
      </c>
    </row>
    <row r="27" spans="2:9" ht="15.75">
      <c r="B27" s="15" t="s">
        <v>14</v>
      </c>
      <c r="C27" s="16">
        <v>9</v>
      </c>
      <c r="D27" s="21" t="s">
        <v>16</v>
      </c>
      <c r="E27" s="17">
        <v>6</v>
      </c>
      <c r="G27" s="25" t="s">
        <v>23</v>
      </c>
      <c r="H27" s="25">
        <v>0</v>
      </c>
      <c r="I27" s="25"/>
    </row>
    <row r="28" spans="2:9" ht="15.75">
      <c r="B28" s="15" t="s">
        <v>14</v>
      </c>
      <c r="C28" s="17">
        <v>2</v>
      </c>
      <c r="D28" s="21" t="s">
        <v>16</v>
      </c>
      <c r="E28" s="16">
        <v>7</v>
      </c>
      <c r="G28" s="25" t="s">
        <v>24</v>
      </c>
      <c r="H28" s="25">
        <v>5.0054372472791888</v>
      </c>
      <c r="I28" s="25"/>
    </row>
    <row r="29" spans="2:9" ht="15.75">
      <c r="B29" s="15" t="s">
        <v>14</v>
      </c>
      <c r="C29" s="16">
        <v>7</v>
      </c>
      <c r="D29" s="21" t="s">
        <v>16</v>
      </c>
      <c r="E29" s="17">
        <v>4</v>
      </c>
      <c r="G29" s="25" t="s">
        <v>25</v>
      </c>
      <c r="H29" s="28">
        <v>2.7867684238014334E-7</v>
      </c>
      <c r="I29" s="25"/>
    </row>
    <row r="30" spans="2:9" ht="15.75">
      <c r="B30" s="15" t="s">
        <v>14</v>
      </c>
      <c r="C30" s="17">
        <v>1</v>
      </c>
      <c r="D30" s="21" t="s">
        <v>16</v>
      </c>
      <c r="E30" s="16">
        <v>1</v>
      </c>
      <c r="G30" s="25" t="s">
        <v>26</v>
      </c>
      <c r="H30" s="25">
        <v>1.6448536269514715</v>
      </c>
      <c r="I30" s="25"/>
    </row>
    <row r="31" spans="2:9" ht="15.75">
      <c r="B31" s="15" t="s">
        <v>14</v>
      </c>
      <c r="C31" s="16">
        <v>10</v>
      </c>
      <c r="D31" s="21" t="s">
        <v>16</v>
      </c>
      <c r="E31" s="17">
        <v>5</v>
      </c>
      <c r="G31" s="25" t="s">
        <v>27</v>
      </c>
      <c r="H31" s="28">
        <v>5.5735368476028668E-7</v>
      </c>
      <c r="I31" s="25"/>
    </row>
    <row r="32" spans="2:9" ht="16.5" thickBot="1">
      <c r="B32" s="15" t="s">
        <v>14</v>
      </c>
      <c r="C32" s="17">
        <v>9</v>
      </c>
      <c r="D32" s="21" t="s">
        <v>16</v>
      </c>
      <c r="E32" s="16">
        <v>6</v>
      </c>
      <c r="G32" s="26" t="s">
        <v>28</v>
      </c>
      <c r="H32" s="26">
        <v>1.9599639845400536</v>
      </c>
      <c r="I32" s="26"/>
    </row>
    <row r="33" spans="2:9" ht="15.75">
      <c r="B33" s="15" t="s">
        <v>14</v>
      </c>
      <c r="C33" s="16">
        <v>10</v>
      </c>
      <c r="D33" s="21" t="s">
        <v>16</v>
      </c>
      <c r="E33" s="17">
        <v>6</v>
      </c>
    </row>
    <row r="34" spans="2:9" ht="15.75">
      <c r="B34" s="15" t="s">
        <v>14</v>
      </c>
      <c r="C34" s="17">
        <v>9</v>
      </c>
      <c r="D34" s="21" t="s">
        <v>16</v>
      </c>
      <c r="E34" s="16">
        <v>6</v>
      </c>
    </row>
    <row r="35" spans="2:9" ht="15.75">
      <c r="B35" s="15" t="s">
        <v>14</v>
      </c>
      <c r="C35" s="16">
        <v>1</v>
      </c>
      <c r="D35" s="21" t="s">
        <v>16</v>
      </c>
      <c r="E35" s="17">
        <v>5</v>
      </c>
    </row>
    <row r="36" spans="2:9" ht="15.75">
      <c r="B36" s="15" t="s">
        <v>14</v>
      </c>
      <c r="C36" s="17">
        <v>5</v>
      </c>
      <c r="D36" s="21" t="s">
        <v>16</v>
      </c>
      <c r="E36" s="16">
        <v>8</v>
      </c>
    </row>
    <row r="37" spans="2:9" ht="15.75">
      <c r="B37" s="15" t="s">
        <v>14</v>
      </c>
      <c r="C37" s="16">
        <v>7</v>
      </c>
      <c r="D37" s="21" t="s">
        <v>16</v>
      </c>
      <c r="E37" s="17">
        <v>8</v>
      </c>
    </row>
    <row r="38" spans="2:9" ht="15.75">
      <c r="B38" s="15" t="s">
        <v>14</v>
      </c>
      <c r="C38" s="17">
        <v>8</v>
      </c>
      <c r="D38" s="21" t="s">
        <v>16</v>
      </c>
      <c r="E38" s="16">
        <v>5</v>
      </c>
    </row>
    <row r="39" spans="2:9" ht="15.75">
      <c r="B39" s="15" t="s">
        <v>14</v>
      </c>
      <c r="C39" s="16">
        <v>6</v>
      </c>
      <c r="D39" s="21" t="s">
        <v>16</v>
      </c>
      <c r="E39" s="18">
        <v>2</v>
      </c>
    </row>
    <row r="40" spans="2:9" ht="15.75">
      <c r="B40" s="15" t="s">
        <v>14</v>
      </c>
      <c r="C40" s="17">
        <v>9</v>
      </c>
      <c r="D40" s="21" t="s">
        <v>16</v>
      </c>
      <c r="E40" s="19">
        <v>5</v>
      </c>
    </row>
    <row r="41" spans="2:9" ht="15.75">
      <c r="B41" s="15" t="s">
        <v>14</v>
      </c>
      <c r="C41" s="16">
        <v>8</v>
      </c>
      <c r="D41" s="21" t="s">
        <v>16</v>
      </c>
      <c r="E41" s="19">
        <v>6</v>
      </c>
    </row>
    <row r="42" spans="2:9" ht="15.75">
      <c r="B42" s="15" t="s">
        <v>14</v>
      </c>
      <c r="C42" s="17">
        <v>9</v>
      </c>
      <c r="D42" s="21" t="s">
        <v>16</v>
      </c>
      <c r="E42" s="18">
        <v>7</v>
      </c>
    </row>
    <row r="43" spans="2:9" ht="15.75">
      <c r="B43" s="15" t="s">
        <v>14</v>
      </c>
      <c r="C43" s="16">
        <v>8</v>
      </c>
      <c r="D43" s="21" t="s">
        <v>16</v>
      </c>
      <c r="E43" s="19">
        <v>8</v>
      </c>
      <c r="G43" t="s">
        <v>29</v>
      </c>
    </row>
    <row r="44" spans="2:9" ht="16.5" thickBot="1">
      <c r="B44" s="15" t="s">
        <v>14</v>
      </c>
      <c r="C44" s="17">
        <v>8</v>
      </c>
      <c r="D44" s="21" t="s">
        <v>16</v>
      </c>
      <c r="E44" s="17">
        <v>8</v>
      </c>
    </row>
    <row r="45" spans="2:9" ht="15.75">
      <c r="B45" s="15" t="s">
        <v>14</v>
      </c>
      <c r="C45" s="16">
        <v>8</v>
      </c>
      <c r="D45" s="21" t="s">
        <v>16</v>
      </c>
      <c r="E45" s="16">
        <v>8</v>
      </c>
      <c r="G45" s="27"/>
      <c r="H45" s="27" t="s">
        <v>15</v>
      </c>
      <c r="I45" s="27" t="s">
        <v>15</v>
      </c>
    </row>
    <row r="46" spans="2:9" ht="15.75">
      <c r="B46" s="15" t="s">
        <v>14</v>
      </c>
      <c r="C46" s="17">
        <v>9</v>
      </c>
      <c r="D46" s="21" t="s">
        <v>16</v>
      </c>
      <c r="E46" s="17">
        <v>7</v>
      </c>
      <c r="G46" s="25" t="s">
        <v>20</v>
      </c>
      <c r="H46" s="25">
        <v>7.2051282051282053</v>
      </c>
      <c r="I46" s="25">
        <v>5.9638157894736841</v>
      </c>
    </row>
    <row r="47" spans="2:9" ht="15.75">
      <c r="B47" s="15" t="s">
        <v>14</v>
      </c>
      <c r="C47" s="16">
        <v>2</v>
      </c>
      <c r="D47" s="21" t="s">
        <v>16</v>
      </c>
      <c r="E47" s="16">
        <v>7</v>
      </c>
      <c r="G47" s="25" t="s">
        <v>30</v>
      </c>
      <c r="H47" s="25">
        <v>5.57055417700579</v>
      </c>
      <c r="I47" s="25">
        <v>3.1637028834462373</v>
      </c>
    </row>
    <row r="48" spans="2:9" ht="15.75">
      <c r="B48" s="15" t="s">
        <v>14</v>
      </c>
      <c r="C48" s="17">
        <v>2</v>
      </c>
      <c r="D48" s="21" t="s">
        <v>16</v>
      </c>
      <c r="E48" s="17">
        <v>7</v>
      </c>
      <c r="G48" s="25" t="s">
        <v>22</v>
      </c>
      <c r="H48" s="25">
        <v>156</v>
      </c>
      <c r="I48" s="25">
        <v>304</v>
      </c>
    </row>
    <row r="49" spans="2:9" ht="15.75">
      <c r="B49" s="15" t="s">
        <v>14</v>
      </c>
      <c r="C49" s="16">
        <v>8</v>
      </c>
      <c r="D49" s="21" t="s">
        <v>16</v>
      </c>
      <c r="E49" s="16">
        <v>6</v>
      </c>
      <c r="G49" s="25" t="s">
        <v>31</v>
      </c>
      <c r="H49" s="25">
        <v>155</v>
      </c>
      <c r="I49" s="25">
        <v>303</v>
      </c>
    </row>
    <row r="50" spans="2:9" ht="15.75">
      <c r="B50" s="15" t="s">
        <v>14</v>
      </c>
      <c r="C50" s="17">
        <v>7</v>
      </c>
      <c r="D50" s="21" t="s">
        <v>16</v>
      </c>
      <c r="E50" s="17">
        <v>4</v>
      </c>
      <c r="G50" s="25" t="s">
        <v>32</v>
      </c>
      <c r="H50" s="25">
        <v>1.760770332180422</v>
      </c>
      <c r="I50" s="25"/>
    </row>
    <row r="51" spans="2:9" ht="15.75">
      <c r="B51" s="15" t="s">
        <v>14</v>
      </c>
      <c r="C51" s="16">
        <v>8</v>
      </c>
      <c r="D51" s="21" t="s">
        <v>16</v>
      </c>
      <c r="E51" s="16">
        <v>8</v>
      </c>
      <c r="G51" s="25" t="s">
        <v>33</v>
      </c>
      <c r="H51" s="28">
        <v>1.5783969919284294E-5</v>
      </c>
      <c r="I51" s="25"/>
    </row>
    <row r="52" spans="2:9" ht="16.5" thickBot="1">
      <c r="B52" s="15" t="s">
        <v>14</v>
      </c>
      <c r="C52" s="17">
        <v>5</v>
      </c>
      <c r="D52" s="21" t="s">
        <v>16</v>
      </c>
      <c r="E52" s="17">
        <v>7</v>
      </c>
      <c r="G52" s="26" t="s">
        <v>34</v>
      </c>
      <c r="H52" s="26">
        <v>1.2527351398449185</v>
      </c>
      <c r="I52" s="26"/>
    </row>
    <row r="53" spans="2:9" ht="15.75">
      <c r="B53" s="15" t="s">
        <v>14</v>
      </c>
      <c r="C53" s="16">
        <v>5</v>
      </c>
      <c r="D53" s="21" t="s">
        <v>16</v>
      </c>
      <c r="E53" s="16">
        <v>10</v>
      </c>
    </row>
    <row r="54" spans="2:9" ht="15.75">
      <c r="B54" s="15" t="s">
        <v>14</v>
      </c>
      <c r="C54" s="17">
        <v>10</v>
      </c>
      <c r="D54" s="21" t="s">
        <v>16</v>
      </c>
      <c r="E54" s="17">
        <v>8</v>
      </c>
    </row>
    <row r="55" spans="2:9" ht="15.75">
      <c r="B55" s="15" t="s">
        <v>14</v>
      </c>
      <c r="C55" s="16">
        <v>9</v>
      </c>
      <c r="D55" s="21" t="s">
        <v>16</v>
      </c>
      <c r="E55" s="16">
        <v>7</v>
      </c>
    </row>
    <row r="56" spans="2:9" ht="15.75">
      <c r="B56" s="15" t="s">
        <v>14</v>
      </c>
      <c r="C56" s="17">
        <v>8</v>
      </c>
      <c r="D56" s="21" t="s">
        <v>16</v>
      </c>
      <c r="E56" s="17">
        <v>8</v>
      </c>
    </row>
    <row r="57" spans="2:9" ht="15.75">
      <c r="B57" s="15" t="s">
        <v>14</v>
      </c>
      <c r="C57" s="16">
        <v>8</v>
      </c>
      <c r="D57" s="21" t="s">
        <v>16</v>
      </c>
      <c r="E57" s="18">
        <v>6</v>
      </c>
    </row>
    <row r="58" spans="2:9" ht="15.75">
      <c r="B58" s="15" t="s">
        <v>14</v>
      </c>
      <c r="C58" s="17">
        <v>7</v>
      </c>
      <c r="D58" s="21" t="s">
        <v>16</v>
      </c>
      <c r="E58" s="19">
        <v>6</v>
      </c>
    </row>
    <row r="59" spans="2:9" ht="15.75">
      <c r="B59" s="15" t="s">
        <v>14</v>
      </c>
      <c r="C59" s="16">
        <v>3</v>
      </c>
      <c r="D59" s="21" t="s">
        <v>16</v>
      </c>
      <c r="E59" s="18">
        <v>7</v>
      </c>
    </row>
    <row r="60" spans="2:9" ht="15.75">
      <c r="B60" s="15" t="s">
        <v>14</v>
      </c>
      <c r="C60" s="17">
        <v>5</v>
      </c>
      <c r="D60" s="21" t="s">
        <v>16</v>
      </c>
      <c r="E60" s="16">
        <v>7</v>
      </c>
    </row>
    <row r="61" spans="2:9" ht="15.75">
      <c r="B61" s="15" t="s">
        <v>14</v>
      </c>
      <c r="C61" s="16">
        <v>5</v>
      </c>
      <c r="D61" s="21" t="s">
        <v>16</v>
      </c>
      <c r="E61" s="17">
        <v>5</v>
      </c>
    </row>
    <row r="62" spans="2:9" ht="15.75">
      <c r="B62" s="15" t="s">
        <v>14</v>
      </c>
      <c r="C62" s="17">
        <v>9</v>
      </c>
      <c r="D62" s="21" t="s">
        <v>16</v>
      </c>
      <c r="E62" s="16">
        <v>5</v>
      </c>
    </row>
    <row r="63" spans="2:9" ht="15.75">
      <c r="B63" s="15" t="s">
        <v>14</v>
      </c>
      <c r="C63" s="16">
        <v>9</v>
      </c>
      <c r="D63" s="21" t="s">
        <v>16</v>
      </c>
      <c r="E63" s="17">
        <v>6</v>
      </c>
    </row>
    <row r="64" spans="2:9" ht="15.75">
      <c r="B64" s="15" t="s">
        <v>14</v>
      </c>
      <c r="C64" s="17">
        <v>1</v>
      </c>
      <c r="D64" s="21" t="s">
        <v>16</v>
      </c>
      <c r="E64" s="16">
        <v>5</v>
      </c>
    </row>
    <row r="65" spans="2:5" ht="15.75">
      <c r="B65" s="15" t="s">
        <v>14</v>
      </c>
      <c r="C65" s="16">
        <v>9</v>
      </c>
      <c r="D65" s="21" t="s">
        <v>16</v>
      </c>
      <c r="E65" s="17">
        <v>2</v>
      </c>
    </row>
    <row r="66" spans="2:5" ht="15.75">
      <c r="B66" s="15" t="s">
        <v>14</v>
      </c>
      <c r="C66" s="17">
        <v>1</v>
      </c>
      <c r="D66" s="21" t="s">
        <v>16</v>
      </c>
      <c r="E66" s="16">
        <v>7</v>
      </c>
    </row>
    <row r="67" spans="2:5" ht="15.75">
      <c r="B67" s="15" t="s">
        <v>14</v>
      </c>
      <c r="C67" s="16">
        <v>8</v>
      </c>
      <c r="D67" s="21" t="s">
        <v>16</v>
      </c>
      <c r="E67" s="17">
        <v>6</v>
      </c>
    </row>
    <row r="68" spans="2:5" ht="15.75">
      <c r="B68" s="15" t="s">
        <v>14</v>
      </c>
      <c r="C68" s="17">
        <v>7</v>
      </c>
      <c r="D68" s="21" t="s">
        <v>16</v>
      </c>
      <c r="E68" s="16">
        <v>7</v>
      </c>
    </row>
    <row r="69" spans="2:5" ht="15.75">
      <c r="B69" s="15" t="s">
        <v>14</v>
      </c>
      <c r="C69" s="16">
        <v>8</v>
      </c>
      <c r="D69" s="21" t="s">
        <v>16</v>
      </c>
      <c r="E69" s="17">
        <v>5</v>
      </c>
    </row>
    <row r="70" spans="2:5" ht="15.75">
      <c r="B70" s="15" t="s">
        <v>14</v>
      </c>
      <c r="C70" s="17">
        <v>4</v>
      </c>
      <c r="D70" s="21" t="s">
        <v>16</v>
      </c>
      <c r="E70" s="16">
        <v>7</v>
      </c>
    </row>
    <row r="71" spans="2:5" ht="15.75">
      <c r="B71" s="15" t="s">
        <v>14</v>
      </c>
      <c r="C71" s="16">
        <v>5</v>
      </c>
      <c r="D71" s="21" t="s">
        <v>16</v>
      </c>
      <c r="E71" s="17">
        <v>6</v>
      </c>
    </row>
    <row r="72" spans="2:5" ht="15.75">
      <c r="B72" s="15" t="s">
        <v>14</v>
      </c>
      <c r="C72" s="17">
        <v>8</v>
      </c>
      <c r="D72" s="21" t="s">
        <v>16</v>
      </c>
      <c r="E72" s="16">
        <v>7</v>
      </c>
    </row>
    <row r="73" spans="2:5" ht="15.75">
      <c r="B73" s="15" t="s">
        <v>14</v>
      </c>
      <c r="C73" s="16">
        <v>9</v>
      </c>
      <c r="D73" s="21" t="s">
        <v>16</v>
      </c>
      <c r="E73" s="17">
        <v>8</v>
      </c>
    </row>
    <row r="74" spans="2:5" ht="15.75">
      <c r="B74" s="15" t="s">
        <v>14</v>
      </c>
      <c r="C74" s="17">
        <v>5</v>
      </c>
      <c r="D74" s="21" t="s">
        <v>16</v>
      </c>
      <c r="E74" s="16">
        <v>7</v>
      </c>
    </row>
    <row r="75" spans="2:5" ht="15.75">
      <c r="B75" s="15" t="s">
        <v>14</v>
      </c>
      <c r="C75" s="16">
        <v>8</v>
      </c>
      <c r="D75" s="21" t="s">
        <v>16</v>
      </c>
      <c r="E75" s="17">
        <v>4</v>
      </c>
    </row>
    <row r="76" spans="2:5" ht="15.75">
      <c r="B76" s="15" t="s">
        <v>14</v>
      </c>
      <c r="C76" s="17">
        <v>5</v>
      </c>
      <c r="D76" s="21" t="s">
        <v>16</v>
      </c>
      <c r="E76" s="16">
        <v>9</v>
      </c>
    </row>
    <row r="77" spans="2:5" ht="15.75">
      <c r="B77" s="15" t="s">
        <v>14</v>
      </c>
      <c r="C77" s="16">
        <v>8</v>
      </c>
      <c r="D77" s="21" t="s">
        <v>16</v>
      </c>
      <c r="E77" s="17">
        <v>7</v>
      </c>
    </row>
    <row r="78" spans="2:5" ht="15.75">
      <c r="B78" s="15" t="s">
        <v>14</v>
      </c>
      <c r="C78" s="17">
        <v>8</v>
      </c>
      <c r="D78" s="21" t="s">
        <v>16</v>
      </c>
      <c r="E78" s="16">
        <v>7</v>
      </c>
    </row>
    <row r="79" spans="2:5" ht="15.75">
      <c r="B79" s="15" t="s">
        <v>14</v>
      </c>
      <c r="C79" s="16">
        <v>10</v>
      </c>
      <c r="D79" s="21" t="s">
        <v>16</v>
      </c>
      <c r="E79" s="17">
        <v>2</v>
      </c>
    </row>
    <row r="80" spans="2:5" ht="15.75">
      <c r="B80" s="15" t="s">
        <v>14</v>
      </c>
      <c r="C80" s="17">
        <v>8</v>
      </c>
      <c r="D80" s="21" t="s">
        <v>16</v>
      </c>
      <c r="E80" s="16">
        <v>7</v>
      </c>
    </row>
    <row r="81" spans="2:5" ht="15.75">
      <c r="B81" s="15" t="s">
        <v>14</v>
      </c>
      <c r="C81" s="16">
        <v>8</v>
      </c>
      <c r="D81" s="21" t="s">
        <v>16</v>
      </c>
      <c r="E81" s="17">
        <v>5</v>
      </c>
    </row>
    <row r="82" spans="2:5" ht="15.75">
      <c r="B82" s="15" t="s">
        <v>14</v>
      </c>
      <c r="C82" s="17">
        <v>6</v>
      </c>
      <c r="D82" s="21" t="s">
        <v>16</v>
      </c>
      <c r="E82" s="18">
        <v>6</v>
      </c>
    </row>
    <row r="83" spans="2:5" ht="15.75">
      <c r="B83" s="15" t="s">
        <v>14</v>
      </c>
      <c r="C83" s="16">
        <v>5</v>
      </c>
      <c r="D83" s="21" t="s">
        <v>16</v>
      </c>
      <c r="E83" s="19">
        <v>5</v>
      </c>
    </row>
    <row r="84" spans="2:5" ht="15.75">
      <c r="B84" s="15" t="s">
        <v>14</v>
      </c>
      <c r="C84" s="17">
        <v>8</v>
      </c>
      <c r="D84" s="21" t="s">
        <v>16</v>
      </c>
      <c r="E84" s="18">
        <v>7</v>
      </c>
    </row>
    <row r="85" spans="2:5" ht="15.75">
      <c r="B85" s="15" t="s">
        <v>14</v>
      </c>
      <c r="C85" s="16">
        <v>5</v>
      </c>
      <c r="D85" s="21" t="s">
        <v>16</v>
      </c>
      <c r="E85" s="16">
        <v>6</v>
      </c>
    </row>
    <row r="86" spans="2:5" ht="15.75">
      <c r="B86" s="15" t="s">
        <v>14</v>
      </c>
      <c r="C86" s="17">
        <v>9</v>
      </c>
      <c r="D86" s="21" t="s">
        <v>16</v>
      </c>
      <c r="E86" s="17">
        <v>6</v>
      </c>
    </row>
    <row r="87" spans="2:5" ht="15.75">
      <c r="B87" s="15" t="s">
        <v>14</v>
      </c>
      <c r="C87" s="16">
        <v>1</v>
      </c>
      <c r="D87" s="21" t="s">
        <v>16</v>
      </c>
      <c r="E87" s="16">
        <v>8</v>
      </c>
    </row>
    <row r="88" spans="2:5" ht="15.75">
      <c r="B88" s="15" t="s">
        <v>14</v>
      </c>
      <c r="C88" s="17">
        <v>8</v>
      </c>
      <c r="D88" s="21" t="s">
        <v>16</v>
      </c>
      <c r="E88" s="17">
        <v>6</v>
      </c>
    </row>
    <row r="89" spans="2:5" ht="15.75">
      <c r="B89" s="15" t="s">
        <v>14</v>
      </c>
      <c r="C89" s="16">
        <v>6</v>
      </c>
      <c r="D89" s="21" t="s">
        <v>16</v>
      </c>
      <c r="E89" s="16">
        <v>7</v>
      </c>
    </row>
    <row r="90" spans="2:5" ht="15.75">
      <c r="B90" s="15" t="s">
        <v>14</v>
      </c>
      <c r="C90" s="17">
        <v>9</v>
      </c>
      <c r="D90" s="21" t="s">
        <v>16</v>
      </c>
      <c r="E90" s="17">
        <v>7</v>
      </c>
    </row>
    <row r="91" spans="2:5" ht="15.75">
      <c r="B91" s="15" t="s">
        <v>14</v>
      </c>
      <c r="C91" s="16">
        <v>9</v>
      </c>
      <c r="D91" s="21" t="s">
        <v>16</v>
      </c>
      <c r="E91" s="16">
        <v>5</v>
      </c>
    </row>
    <row r="92" spans="2:5" ht="15.75">
      <c r="B92" s="15" t="s">
        <v>14</v>
      </c>
      <c r="C92" s="17">
        <v>9</v>
      </c>
      <c r="D92" s="21" t="s">
        <v>16</v>
      </c>
      <c r="E92" s="17">
        <v>7</v>
      </c>
    </row>
    <row r="93" spans="2:5" ht="15.75">
      <c r="B93" s="15" t="s">
        <v>14</v>
      </c>
      <c r="C93" s="16">
        <v>10</v>
      </c>
      <c r="D93" s="21" t="s">
        <v>16</v>
      </c>
      <c r="E93" s="16">
        <v>8</v>
      </c>
    </row>
    <row r="94" spans="2:5" ht="15.75">
      <c r="B94" s="15" t="s">
        <v>14</v>
      </c>
      <c r="C94" s="17">
        <v>7</v>
      </c>
      <c r="D94" s="21" t="s">
        <v>16</v>
      </c>
      <c r="E94" s="17">
        <v>5</v>
      </c>
    </row>
    <row r="95" spans="2:5" ht="15.75">
      <c r="B95" s="15" t="s">
        <v>14</v>
      </c>
      <c r="C95" s="16">
        <v>8</v>
      </c>
      <c r="D95" s="21" t="s">
        <v>16</v>
      </c>
      <c r="E95" s="16">
        <v>8</v>
      </c>
    </row>
    <row r="96" spans="2:5" ht="15.75">
      <c r="B96" s="15" t="s">
        <v>14</v>
      </c>
      <c r="C96" s="17">
        <v>1</v>
      </c>
      <c r="D96" s="21" t="s">
        <v>16</v>
      </c>
      <c r="E96" s="17">
        <v>8</v>
      </c>
    </row>
    <row r="97" spans="2:5" ht="15.75">
      <c r="B97" s="15" t="s">
        <v>14</v>
      </c>
      <c r="C97" s="16">
        <v>9</v>
      </c>
      <c r="D97" s="21" t="s">
        <v>16</v>
      </c>
      <c r="E97" s="16">
        <v>7</v>
      </c>
    </row>
    <row r="98" spans="2:5" ht="15.75">
      <c r="B98" s="15" t="s">
        <v>14</v>
      </c>
      <c r="C98" s="17">
        <v>8</v>
      </c>
      <c r="D98" s="21" t="s">
        <v>16</v>
      </c>
      <c r="E98" s="17">
        <v>3</v>
      </c>
    </row>
    <row r="99" spans="2:5" ht="15.75">
      <c r="B99" s="15" t="s">
        <v>14</v>
      </c>
      <c r="C99" s="16">
        <v>8</v>
      </c>
      <c r="D99" s="21" t="s">
        <v>16</v>
      </c>
      <c r="E99" s="16">
        <v>5</v>
      </c>
    </row>
    <row r="100" spans="2:5" ht="15.75">
      <c r="B100" s="15" t="s">
        <v>14</v>
      </c>
      <c r="C100" s="17">
        <v>5</v>
      </c>
      <c r="D100" s="21" t="s">
        <v>16</v>
      </c>
      <c r="E100" s="17">
        <v>7</v>
      </c>
    </row>
    <row r="101" spans="2:5" ht="15.75">
      <c r="B101" s="15" t="s">
        <v>14</v>
      </c>
      <c r="C101" s="16">
        <v>8</v>
      </c>
      <c r="D101" s="21" t="s">
        <v>16</v>
      </c>
      <c r="E101" s="16">
        <v>5</v>
      </c>
    </row>
    <row r="102" spans="2:5" ht="15.75">
      <c r="B102" s="15" t="s">
        <v>14</v>
      </c>
      <c r="C102" s="17">
        <v>8</v>
      </c>
      <c r="D102" s="21" t="s">
        <v>16</v>
      </c>
      <c r="E102" s="17">
        <v>6</v>
      </c>
    </row>
    <row r="103" spans="2:5" ht="15.75">
      <c r="B103" s="15" t="s">
        <v>14</v>
      </c>
      <c r="C103" s="16">
        <v>8</v>
      </c>
      <c r="D103" s="21" t="s">
        <v>16</v>
      </c>
      <c r="E103" s="16">
        <v>5</v>
      </c>
    </row>
    <row r="104" spans="2:5" ht="15.75">
      <c r="B104" s="15" t="s">
        <v>14</v>
      </c>
      <c r="C104" s="17">
        <v>9</v>
      </c>
      <c r="D104" s="21" t="s">
        <v>16</v>
      </c>
      <c r="E104" s="17">
        <v>8</v>
      </c>
    </row>
    <row r="105" spans="2:5" ht="15.75">
      <c r="B105" s="15" t="s">
        <v>14</v>
      </c>
      <c r="C105" s="16">
        <v>7</v>
      </c>
      <c r="D105" s="21" t="s">
        <v>16</v>
      </c>
      <c r="E105" s="16">
        <v>7</v>
      </c>
    </row>
    <row r="106" spans="2:5" ht="15.75">
      <c r="B106" s="15" t="s">
        <v>14</v>
      </c>
      <c r="C106" s="17">
        <v>4</v>
      </c>
      <c r="D106" s="21" t="s">
        <v>16</v>
      </c>
      <c r="E106" s="17">
        <v>6</v>
      </c>
    </row>
    <row r="107" spans="2:5" ht="15.75">
      <c r="B107" s="15" t="s">
        <v>14</v>
      </c>
      <c r="C107" s="16">
        <v>10</v>
      </c>
      <c r="D107" s="21" t="s">
        <v>16</v>
      </c>
      <c r="E107" s="16">
        <v>8</v>
      </c>
    </row>
    <row r="108" spans="2:5" ht="15.75">
      <c r="B108" s="15" t="s">
        <v>14</v>
      </c>
      <c r="C108" s="17">
        <v>10</v>
      </c>
      <c r="D108" s="21" t="s">
        <v>16</v>
      </c>
      <c r="E108" s="17">
        <v>7</v>
      </c>
    </row>
    <row r="109" spans="2:5" ht="15.75">
      <c r="B109" s="15" t="s">
        <v>14</v>
      </c>
      <c r="C109" s="16">
        <v>2</v>
      </c>
      <c r="D109" s="21" t="s">
        <v>16</v>
      </c>
      <c r="E109" s="16">
        <v>3</v>
      </c>
    </row>
    <row r="110" spans="2:5" ht="15.75">
      <c r="B110" s="15" t="s">
        <v>14</v>
      </c>
      <c r="C110" s="17">
        <v>8</v>
      </c>
      <c r="D110" s="21" t="s">
        <v>16</v>
      </c>
      <c r="E110" s="17">
        <v>3</v>
      </c>
    </row>
    <row r="111" spans="2:5" ht="15.75">
      <c r="B111" s="15" t="s">
        <v>14</v>
      </c>
      <c r="C111" s="16">
        <v>7</v>
      </c>
      <c r="D111" s="21" t="s">
        <v>16</v>
      </c>
      <c r="E111" s="16">
        <v>7</v>
      </c>
    </row>
    <row r="112" spans="2:5" ht="15.75">
      <c r="B112" s="15" t="s">
        <v>14</v>
      </c>
      <c r="C112" s="17">
        <v>3</v>
      </c>
      <c r="D112" s="21" t="s">
        <v>16</v>
      </c>
      <c r="E112" s="17">
        <v>5</v>
      </c>
    </row>
    <row r="113" spans="2:5" ht="15.75">
      <c r="B113" s="15" t="s">
        <v>14</v>
      </c>
      <c r="C113" s="16">
        <v>10</v>
      </c>
      <c r="D113" s="21" t="s">
        <v>16</v>
      </c>
      <c r="E113" s="16">
        <v>6</v>
      </c>
    </row>
    <row r="114" spans="2:5" ht="15.75">
      <c r="B114" s="15" t="s">
        <v>14</v>
      </c>
      <c r="C114" s="17">
        <v>8</v>
      </c>
      <c r="D114" s="21" t="s">
        <v>16</v>
      </c>
      <c r="E114" s="17">
        <v>7</v>
      </c>
    </row>
    <row r="115" spans="2:5" ht="15.75">
      <c r="B115" s="15" t="s">
        <v>14</v>
      </c>
      <c r="C115" s="16">
        <v>8</v>
      </c>
      <c r="D115" s="21" t="s">
        <v>16</v>
      </c>
      <c r="E115" s="16">
        <v>7</v>
      </c>
    </row>
    <row r="116" spans="2:5" ht="15.75">
      <c r="B116" s="15" t="s">
        <v>14</v>
      </c>
      <c r="C116" s="17">
        <v>9</v>
      </c>
      <c r="D116" s="21" t="s">
        <v>16</v>
      </c>
      <c r="E116" s="17">
        <v>6</v>
      </c>
    </row>
    <row r="117" spans="2:5" ht="15.75">
      <c r="B117" s="15" t="s">
        <v>14</v>
      </c>
      <c r="C117" s="16">
        <v>9</v>
      </c>
      <c r="D117" s="21" t="s">
        <v>16</v>
      </c>
      <c r="E117" s="16">
        <v>5</v>
      </c>
    </row>
    <row r="118" spans="2:5" ht="15.75">
      <c r="B118" s="15" t="s">
        <v>14</v>
      </c>
      <c r="C118" s="17">
        <v>3</v>
      </c>
      <c r="D118" s="21" t="s">
        <v>16</v>
      </c>
      <c r="E118" s="17">
        <v>5</v>
      </c>
    </row>
    <row r="119" spans="2:5" ht="15.75">
      <c r="B119" s="15" t="s">
        <v>14</v>
      </c>
      <c r="C119" s="16">
        <v>9</v>
      </c>
      <c r="D119" s="21" t="s">
        <v>16</v>
      </c>
      <c r="E119" s="16">
        <v>7</v>
      </c>
    </row>
    <row r="120" spans="2:5" ht="15.75">
      <c r="B120" s="15" t="s">
        <v>14</v>
      </c>
      <c r="C120" s="17">
        <v>10</v>
      </c>
      <c r="D120" s="21" t="s">
        <v>16</v>
      </c>
      <c r="E120" s="17">
        <v>7</v>
      </c>
    </row>
    <row r="121" spans="2:5" ht="15.75">
      <c r="B121" s="15" t="s">
        <v>14</v>
      </c>
      <c r="C121" s="16">
        <v>9</v>
      </c>
      <c r="D121" s="21" t="s">
        <v>16</v>
      </c>
      <c r="E121" s="16">
        <v>9</v>
      </c>
    </row>
    <row r="122" spans="2:5" ht="15.75">
      <c r="B122" s="15" t="s">
        <v>14</v>
      </c>
      <c r="C122" s="17">
        <v>9</v>
      </c>
      <c r="D122" s="21" t="s">
        <v>16</v>
      </c>
      <c r="E122" s="17">
        <v>8</v>
      </c>
    </row>
    <row r="123" spans="2:5" ht="15.75">
      <c r="B123" s="15" t="s">
        <v>14</v>
      </c>
      <c r="C123" s="16">
        <v>7</v>
      </c>
      <c r="D123" s="21" t="s">
        <v>16</v>
      </c>
      <c r="E123" s="16">
        <v>7</v>
      </c>
    </row>
    <row r="124" spans="2:5" ht="15.75">
      <c r="B124" s="15" t="s">
        <v>14</v>
      </c>
      <c r="C124" s="17">
        <v>6</v>
      </c>
      <c r="D124" s="21" t="s">
        <v>16</v>
      </c>
      <c r="E124" s="17">
        <v>7</v>
      </c>
    </row>
    <row r="125" spans="2:5" ht="15.75">
      <c r="B125" s="15" t="s">
        <v>14</v>
      </c>
      <c r="C125" s="16">
        <v>8</v>
      </c>
      <c r="D125" s="21" t="s">
        <v>16</v>
      </c>
      <c r="E125" s="16">
        <v>7</v>
      </c>
    </row>
    <row r="126" spans="2:5" ht="15.75">
      <c r="B126" s="15" t="s">
        <v>14</v>
      </c>
      <c r="C126" s="17">
        <v>8</v>
      </c>
      <c r="D126" s="21" t="s">
        <v>16</v>
      </c>
      <c r="E126" s="17">
        <v>4</v>
      </c>
    </row>
    <row r="127" spans="2:5" ht="15.75">
      <c r="B127" s="15" t="s">
        <v>14</v>
      </c>
      <c r="C127" s="16">
        <v>9</v>
      </c>
      <c r="D127" s="21" t="s">
        <v>16</v>
      </c>
      <c r="E127" s="16">
        <v>10</v>
      </c>
    </row>
    <row r="128" spans="2:5" ht="15.75">
      <c r="B128" s="15" t="s">
        <v>14</v>
      </c>
      <c r="C128" s="16">
        <v>2</v>
      </c>
      <c r="D128" s="21" t="s">
        <v>16</v>
      </c>
      <c r="E128" s="17">
        <v>3</v>
      </c>
    </row>
    <row r="129" spans="2:5" ht="15.75">
      <c r="B129" s="15" t="s">
        <v>14</v>
      </c>
      <c r="C129" s="17">
        <v>8</v>
      </c>
      <c r="D129" s="21" t="s">
        <v>16</v>
      </c>
      <c r="E129" s="16">
        <v>4</v>
      </c>
    </row>
    <row r="130" spans="2:5" ht="15.75">
      <c r="B130" s="15" t="s">
        <v>14</v>
      </c>
      <c r="C130" s="16">
        <v>7</v>
      </c>
      <c r="D130" s="21" t="s">
        <v>16</v>
      </c>
      <c r="E130" s="17">
        <v>7</v>
      </c>
    </row>
    <row r="131" spans="2:5" ht="15.75">
      <c r="B131" s="15" t="s">
        <v>14</v>
      </c>
      <c r="C131" s="17">
        <v>3</v>
      </c>
      <c r="D131" s="21" t="s">
        <v>16</v>
      </c>
      <c r="E131" s="16">
        <v>6</v>
      </c>
    </row>
    <row r="132" spans="2:5" ht="15.75">
      <c r="B132" s="15" t="s">
        <v>14</v>
      </c>
      <c r="C132" s="16">
        <v>10</v>
      </c>
      <c r="D132" s="21" t="s">
        <v>16</v>
      </c>
      <c r="E132" s="17">
        <v>7</v>
      </c>
    </row>
    <row r="133" spans="2:5" ht="15.75">
      <c r="B133" s="15" t="s">
        <v>14</v>
      </c>
      <c r="C133" s="17">
        <v>8</v>
      </c>
      <c r="D133" s="21" t="s">
        <v>16</v>
      </c>
      <c r="E133" s="16">
        <v>7</v>
      </c>
    </row>
    <row r="134" spans="2:5" ht="15.75">
      <c r="B134" s="15" t="s">
        <v>14</v>
      </c>
      <c r="C134" s="16">
        <v>8</v>
      </c>
      <c r="D134" s="21" t="s">
        <v>16</v>
      </c>
      <c r="E134" s="19">
        <v>7</v>
      </c>
    </row>
    <row r="135" spans="2:5" ht="15.75">
      <c r="B135" s="15" t="s">
        <v>14</v>
      </c>
      <c r="C135" s="17">
        <v>9</v>
      </c>
      <c r="D135" s="21" t="s">
        <v>16</v>
      </c>
      <c r="E135" s="18">
        <v>5</v>
      </c>
    </row>
    <row r="136" spans="2:5" ht="15.75">
      <c r="B136" s="15" t="s">
        <v>14</v>
      </c>
      <c r="C136" s="16">
        <v>9</v>
      </c>
      <c r="D136" s="21" t="s">
        <v>16</v>
      </c>
      <c r="E136" s="18">
        <v>5</v>
      </c>
    </row>
    <row r="137" spans="2:5" ht="15.75">
      <c r="B137" s="15" t="s">
        <v>14</v>
      </c>
      <c r="C137" s="17">
        <v>3</v>
      </c>
      <c r="D137" s="21" t="s">
        <v>16</v>
      </c>
      <c r="E137" s="18">
        <v>10</v>
      </c>
    </row>
    <row r="138" spans="2:5" ht="15.75">
      <c r="B138" s="15" t="s">
        <v>14</v>
      </c>
      <c r="C138" s="16">
        <v>9</v>
      </c>
      <c r="D138" s="21" t="s">
        <v>16</v>
      </c>
      <c r="E138" s="19">
        <v>6</v>
      </c>
    </row>
    <row r="139" spans="2:5" ht="15.75">
      <c r="B139" s="15" t="s">
        <v>14</v>
      </c>
      <c r="C139" s="17">
        <v>10</v>
      </c>
      <c r="D139" s="21" t="s">
        <v>16</v>
      </c>
      <c r="E139" s="18">
        <v>5</v>
      </c>
    </row>
    <row r="140" spans="2:5" ht="15.75">
      <c r="B140" s="15" t="s">
        <v>14</v>
      </c>
      <c r="C140" s="16">
        <v>9</v>
      </c>
      <c r="D140" s="21" t="s">
        <v>16</v>
      </c>
      <c r="E140" s="18">
        <v>7</v>
      </c>
    </row>
    <row r="141" spans="2:5" ht="15.75">
      <c r="B141" s="15" t="s">
        <v>14</v>
      </c>
      <c r="C141" s="17">
        <v>9</v>
      </c>
      <c r="D141" s="21" t="s">
        <v>16</v>
      </c>
      <c r="E141" s="18">
        <v>10</v>
      </c>
    </row>
    <row r="142" spans="2:5" ht="15.75">
      <c r="B142" s="15" t="s">
        <v>14</v>
      </c>
      <c r="C142" s="16">
        <v>7</v>
      </c>
      <c r="D142" s="21" t="s">
        <v>16</v>
      </c>
      <c r="E142" s="19">
        <v>9</v>
      </c>
    </row>
    <row r="143" spans="2:5" ht="15.75">
      <c r="B143" s="15" t="s">
        <v>14</v>
      </c>
      <c r="C143" s="17">
        <v>6</v>
      </c>
      <c r="D143" s="21" t="s">
        <v>16</v>
      </c>
      <c r="E143" s="18">
        <v>7</v>
      </c>
    </row>
    <row r="144" spans="2:5" ht="15.75">
      <c r="B144" s="15" t="s">
        <v>14</v>
      </c>
      <c r="C144" s="16">
        <v>8</v>
      </c>
      <c r="D144" s="21" t="s">
        <v>16</v>
      </c>
      <c r="E144" s="19">
        <v>9</v>
      </c>
    </row>
    <row r="145" spans="2:5" ht="15.75">
      <c r="B145" s="15" t="s">
        <v>14</v>
      </c>
      <c r="C145" s="17">
        <v>8</v>
      </c>
      <c r="D145" s="21" t="s">
        <v>16</v>
      </c>
      <c r="E145" s="19">
        <v>3</v>
      </c>
    </row>
    <row r="146" spans="2:5" ht="15.75">
      <c r="B146" s="15" t="s">
        <v>14</v>
      </c>
      <c r="C146" s="16">
        <v>9</v>
      </c>
      <c r="D146" s="21" t="s">
        <v>16</v>
      </c>
      <c r="E146" s="18">
        <v>5</v>
      </c>
    </row>
    <row r="147" spans="2:5" ht="15.75">
      <c r="B147" s="15" t="s">
        <v>14</v>
      </c>
      <c r="C147" s="18">
        <v>1</v>
      </c>
      <c r="D147" s="21" t="s">
        <v>16</v>
      </c>
      <c r="E147" s="19">
        <v>8</v>
      </c>
    </row>
    <row r="148" spans="2:5" ht="15.75">
      <c r="B148" s="15" t="s">
        <v>14</v>
      </c>
      <c r="C148" s="19">
        <v>7</v>
      </c>
      <c r="D148" s="21" t="s">
        <v>16</v>
      </c>
      <c r="E148" s="18">
        <v>4</v>
      </c>
    </row>
    <row r="149" spans="2:5" ht="15.75">
      <c r="B149" s="15" t="s">
        <v>14</v>
      </c>
      <c r="C149" s="19">
        <v>9</v>
      </c>
      <c r="D149" s="21" t="s">
        <v>16</v>
      </c>
      <c r="E149" s="19">
        <v>4</v>
      </c>
    </row>
    <row r="150" spans="2:5" ht="15.75">
      <c r="B150" s="15" t="s">
        <v>14</v>
      </c>
      <c r="C150" s="19">
        <v>7</v>
      </c>
      <c r="D150" s="21" t="s">
        <v>16</v>
      </c>
      <c r="E150" s="18">
        <v>5</v>
      </c>
    </row>
    <row r="151" spans="2:5" ht="15.75">
      <c r="B151" s="15" t="s">
        <v>14</v>
      </c>
      <c r="C151" s="19">
        <v>8</v>
      </c>
      <c r="D151" s="21" t="s">
        <v>16</v>
      </c>
      <c r="E151" s="22">
        <v>5</v>
      </c>
    </row>
    <row r="152" spans="2:5" ht="15.75">
      <c r="B152" s="15" t="s">
        <v>14</v>
      </c>
      <c r="C152" s="18">
        <v>9</v>
      </c>
      <c r="D152" s="21" t="s">
        <v>16</v>
      </c>
      <c r="E152" s="22">
        <v>5</v>
      </c>
    </row>
    <row r="153" spans="2:5" ht="15.75">
      <c r="B153" s="15" t="s">
        <v>14</v>
      </c>
      <c r="C153" s="19">
        <v>8</v>
      </c>
      <c r="D153" s="21" t="s">
        <v>16</v>
      </c>
      <c r="E153" s="22">
        <v>6</v>
      </c>
    </row>
    <row r="154" spans="2:5" ht="15.75">
      <c r="B154" s="15" t="s">
        <v>14</v>
      </c>
      <c r="C154" s="18">
        <v>9</v>
      </c>
      <c r="D154" s="21" t="s">
        <v>16</v>
      </c>
      <c r="E154" s="22">
        <v>5</v>
      </c>
    </row>
    <row r="155" spans="2:5" ht="15.75">
      <c r="B155" s="15" t="s">
        <v>14</v>
      </c>
      <c r="C155" s="18">
        <v>5</v>
      </c>
      <c r="D155" s="21" t="s">
        <v>16</v>
      </c>
      <c r="E155" s="22">
        <v>5</v>
      </c>
    </row>
    <row r="156" spans="2:5" ht="15.75">
      <c r="B156" s="15" t="s">
        <v>14</v>
      </c>
      <c r="C156" s="18">
        <v>5</v>
      </c>
      <c r="D156" s="21" t="s">
        <v>16</v>
      </c>
      <c r="E156" s="22">
        <v>7</v>
      </c>
    </row>
    <row r="157" spans="2:5" ht="15.75">
      <c r="B157" s="15" t="s">
        <v>14</v>
      </c>
      <c r="C157" s="18">
        <v>10</v>
      </c>
      <c r="D157" s="21" t="s">
        <v>16</v>
      </c>
      <c r="E157" s="22">
        <v>2</v>
      </c>
    </row>
    <row r="158" spans="2:5" ht="15.75">
      <c r="B158" s="15" t="s">
        <v>14</v>
      </c>
      <c r="C158" s="18">
        <v>8</v>
      </c>
      <c r="D158" s="21" t="s">
        <v>16</v>
      </c>
      <c r="E158" s="22">
        <v>7</v>
      </c>
    </row>
    <row r="159" spans="2:5" ht="15.75">
      <c r="B159" s="15" t="s">
        <v>14</v>
      </c>
      <c r="C159" s="19">
        <v>7</v>
      </c>
      <c r="D159" s="21" t="s">
        <v>16</v>
      </c>
      <c r="E159" s="22">
        <v>4</v>
      </c>
    </row>
    <row r="160" spans="2:5" ht="15.75">
      <c r="B160" s="15" t="s">
        <v>14</v>
      </c>
      <c r="C160" s="19">
        <v>8</v>
      </c>
      <c r="D160" s="21" t="s">
        <v>16</v>
      </c>
      <c r="E160" s="22">
        <v>6</v>
      </c>
    </row>
    <row r="161" spans="2:5" ht="15.75">
      <c r="B161" s="15" t="s">
        <v>14</v>
      </c>
      <c r="C161" s="19">
        <v>8</v>
      </c>
      <c r="D161" s="21" t="s">
        <v>16</v>
      </c>
      <c r="E161" s="22">
        <v>5</v>
      </c>
    </row>
    <row r="162" spans="2:5" ht="15.75">
      <c r="B162" s="15" t="s">
        <v>14</v>
      </c>
      <c r="C162" s="18">
        <v>9</v>
      </c>
      <c r="D162" s="21" t="s">
        <v>16</v>
      </c>
      <c r="E162" s="22">
        <v>6</v>
      </c>
    </row>
    <row r="163" spans="2:5" ht="15.75">
      <c r="B163" s="15" t="s">
        <v>14</v>
      </c>
      <c r="C163" s="19">
        <v>7</v>
      </c>
      <c r="D163" s="21" t="s">
        <v>16</v>
      </c>
      <c r="E163" s="22">
        <v>8</v>
      </c>
    </row>
    <row r="164" spans="2:5" ht="15.75">
      <c r="B164" s="15" t="s">
        <v>14</v>
      </c>
      <c r="C164" s="18">
        <v>7</v>
      </c>
      <c r="D164" s="21" t="s">
        <v>16</v>
      </c>
      <c r="E164" s="22">
        <v>3</v>
      </c>
    </row>
    <row r="165" spans="2:5" ht="15.75">
      <c r="B165" s="15" t="s">
        <v>14</v>
      </c>
      <c r="C165" s="18">
        <v>6</v>
      </c>
      <c r="D165" s="21" t="s">
        <v>16</v>
      </c>
      <c r="E165" s="22">
        <v>6</v>
      </c>
    </row>
    <row r="166" spans="2:5" ht="15.75">
      <c r="B166" s="15" t="s">
        <v>14</v>
      </c>
      <c r="C166" s="18">
        <v>8</v>
      </c>
      <c r="D166" s="21" t="s">
        <v>16</v>
      </c>
      <c r="E166" s="22">
        <v>8</v>
      </c>
    </row>
    <row r="167" spans="2:5" ht="15.75">
      <c r="B167" s="15" t="s">
        <v>14</v>
      </c>
      <c r="C167" s="19">
        <v>9</v>
      </c>
      <c r="D167" s="21" t="s">
        <v>16</v>
      </c>
      <c r="E167" s="22">
        <v>5</v>
      </c>
    </row>
    <row r="168" spans="2:5" ht="15.75">
      <c r="B168" s="15" t="s">
        <v>14</v>
      </c>
      <c r="C168" s="17">
        <v>7</v>
      </c>
      <c r="D168" s="21" t="s">
        <v>16</v>
      </c>
      <c r="E168" s="22">
        <v>4</v>
      </c>
    </row>
    <row r="169" spans="2:5" ht="15.75">
      <c r="B169" s="15" t="s">
        <v>14</v>
      </c>
      <c r="C169" s="16">
        <v>9</v>
      </c>
      <c r="D169" s="21" t="s">
        <v>16</v>
      </c>
      <c r="E169" s="22">
        <v>5</v>
      </c>
    </row>
    <row r="170" spans="2:5" ht="15.75">
      <c r="B170" s="15" t="s">
        <v>14</v>
      </c>
      <c r="C170" s="17">
        <v>9</v>
      </c>
      <c r="D170" s="21" t="s">
        <v>16</v>
      </c>
      <c r="E170" s="22">
        <v>6</v>
      </c>
    </row>
    <row r="171" spans="2:5" ht="15.75">
      <c r="B171" s="15" t="s">
        <v>14</v>
      </c>
      <c r="C171" s="16">
        <v>8</v>
      </c>
      <c r="D171" s="21" t="s">
        <v>16</v>
      </c>
      <c r="E171" s="22">
        <v>8</v>
      </c>
    </row>
    <row r="172" spans="2:5" ht="15.75">
      <c r="B172" s="15" t="s">
        <v>14</v>
      </c>
      <c r="C172" s="20">
        <v>8</v>
      </c>
      <c r="D172" s="21" t="s">
        <v>16</v>
      </c>
      <c r="E172" s="22">
        <v>4</v>
      </c>
    </row>
    <row r="173" spans="2:5" ht="15.75">
      <c r="D173" s="21" t="s">
        <v>16</v>
      </c>
      <c r="E173" s="22">
        <v>5</v>
      </c>
    </row>
    <row r="174" spans="2:5" ht="15.75">
      <c r="D174" s="21" t="s">
        <v>16</v>
      </c>
      <c r="E174" s="22">
        <v>2</v>
      </c>
    </row>
    <row r="175" spans="2:5" ht="15.75">
      <c r="D175" s="21" t="s">
        <v>16</v>
      </c>
      <c r="E175" s="22">
        <v>6</v>
      </c>
    </row>
    <row r="176" spans="2:5" ht="15.75">
      <c r="D176" s="21" t="s">
        <v>16</v>
      </c>
      <c r="E176" s="22">
        <v>4</v>
      </c>
    </row>
    <row r="177" spans="4:5" ht="15.75">
      <c r="D177" s="21" t="s">
        <v>16</v>
      </c>
      <c r="E177" s="22">
        <v>7</v>
      </c>
    </row>
    <row r="178" spans="4:5" ht="15.75">
      <c r="D178" s="21" t="s">
        <v>16</v>
      </c>
      <c r="E178" s="22">
        <v>7</v>
      </c>
    </row>
    <row r="179" spans="4:5" ht="15.75">
      <c r="D179" s="21" t="s">
        <v>16</v>
      </c>
      <c r="E179" s="22">
        <v>8</v>
      </c>
    </row>
    <row r="180" spans="4:5" ht="15.75">
      <c r="D180" s="21" t="s">
        <v>16</v>
      </c>
      <c r="E180" s="22">
        <v>8</v>
      </c>
    </row>
    <row r="181" spans="4:5" ht="15.75">
      <c r="D181" s="21" t="s">
        <v>16</v>
      </c>
      <c r="E181" s="22">
        <v>7</v>
      </c>
    </row>
    <row r="182" spans="4:5" ht="15.75">
      <c r="D182" s="21" t="s">
        <v>16</v>
      </c>
      <c r="E182" s="22">
        <v>4</v>
      </c>
    </row>
    <row r="183" spans="4:5" ht="15.75">
      <c r="D183" s="21" t="s">
        <v>16</v>
      </c>
      <c r="E183" s="22">
        <v>5</v>
      </c>
    </row>
    <row r="184" spans="4:5" ht="15.75">
      <c r="D184" s="21" t="s">
        <v>16</v>
      </c>
      <c r="E184" s="23">
        <v>4</v>
      </c>
    </row>
    <row r="185" spans="4:5" ht="15.75">
      <c r="D185" s="15" t="s">
        <v>16</v>
      </c>
      <c r="E185" s="24">
        <v>5</v>
      </c>
    </row>
    <row r="186" spans="4:5" ht="15.75">
      <c r="D186" s="15" t="s">
        <v>16</v>
      </c>
      <c r="E186" s="20">
        <v>7</v>
      </c>
    </row>
    <row r="187" spans="4:5" ht="15.75">
      <c r="D187" s="15" t="s">
        <v>16</v>
      </c>
      <c r="E187" s="20">
        <v>5</v>
      </c>
    </row>
    <row r="188" spans="4:5" ht="15.75">
      <c r="D188" s="15" t="s">
        <v>16</v>
      </c>
      <c r="E188" s="20">
        <v>7</v>
      </c>
    </row>
    <row r="189" spans="4:5" ht="15.75">
      <c r="D189" s="15" t="s">
        <v>16</v>
      </c>
      <c r="E189" s="20">
        <v>7</v>
      </c>
    </row>
    <row r="190" spans="4:5" ht="15.75">
      <c r="D190" s="15" t="s">
        <v>16</v>
      </c>
      <c r="E190" s="20">
        <v>4</v>
      </c>
    </row>
    <row r="191" spans="4:5" ht="15.75">
      <c r="D191" s="15" t="s">
        <v>16</v>
      </c>
      <c r="E191" s="20">
        <v>5</v>
      </c>
    </row>
    <row r="192" spans="4:5" ht="15.75">
      <c r="D192" s="15" t="s">
        <v>16</v>
      </c>
      <c r="E192" s="20">
        <v>5</v>
      </c>
    </row>
    <row r="193" spans="4:5" ht="15.75">
      <c r="D193" s="15" t="s">
        <v>16</v>
      </c>
      <c r="E193" s="20">
        <v>8</v>
      </c>
    </row>
    <row r="194" spans="4:5" ht="15.75">
      <c r="D194" s="15" t="s">
        <v>16</v>
      </c>
      <c r="E194" s="20">
        <v>4</v>
      </c>
    </row>
    <row r="195" spans="4:5" ht="15.75">
      <c r="D195" s="15" t="s">
        <v>16</v>
      </c>
      <c r="E195" s="20">
        <v>7</v>
      </c>
    </row>
    <row r="196" spans="4:5" ht="15.75">
      <c r="D196" s="15" t="s">
        <v>16</v>
      </c>
      <c r="E196" s="20">
        <v>7</v>
      </c>
    </row>
    <row r="197" spans="4:5" ht="15.75">
      <c r="D197" s="15" t="s">
        <v>16</v>
      </c>
      <c r="E197" s="20">
        <v>5</v>
      </c>
    </row>
    <row r="198" spans="4:5" ht="15.75">
      <c r="D198" s="15" t="s">
        <v>16</v>
      </c>
      <c r="E198" s="20">
        <v>5</v>
      </c>
    </row>
    <row r="199" spans="4:5" ht="15.75">
      <c r="D199" s="15" t="s">
        <v>16</v>
      </c>
      <c r="E199" s="20">
        <v>7</v>
      </c>
    </row>
    <row r="200" spans="4:5" ht="15.75">
      <c r="D200" s="15" t="s">
        <v>16</v>
      </c>
      <c r="E200" s="20">
        <v>8</v>
      </c>
    </row>
    <row r="201" spans="4:5" ht="15.75">
      <c r="D201" s="15" t="s">
        <v>16</v>
      </c>
      <c r="E201" s="20">
        <v>7</v>
      </c>
    </row>
    <row r="202" spans="4:5" ht="15.75">
      <c r="D202" s="15" t="s">
        <v>16</v>
      </c>
      <c r="E202" s="20">
        <v>5</v>
      </c>
    </row>
    <row r="203" spans="4:5" ht="15.75">
      <c r="D203" s="15" t="s">
        <v>16</v>
      </c>
      <c r="E203" s="20">
        <v>7</v>
      </c>
    </row>
    <row r="204" spans="4:5" ht="15.75">
      <c r="D204" s="15" t="s">
        <v>16</v>
      </c>
      <c r="E204" s="20">
        <v>7</v>
      </c>
    </row>
    <row r="205" spans="4:5" ht="15.75">
      <c r="D205" s="15" t="s">
        <v>16</v>
      </c>
      <c r="E205" s="20">
        <v>6</v>
      </c>
    </row>
    <row r="206" spans="4:5" ht="15.75">
      <c r="D206" s="15" t="s">
        <v>16</v>
      </c>
      <c r="E206" s="20">
        <v>8</v>
      </c>
    </row>
    <row r="207" spans="4:5" ht="15.75">
      <c r="D207" s="15" t="s">
        <v>16</v>
      </c>
      <c r="E207" s="20">
        <v>4</v>
      </c>
    </row>
    <row r="208" spans="4:5" ht="15.75">
      <c r="D208" s="15" t="s">
        <v>16</v>
      </c>
      <c r="E208" s="20">
        <v>7</v>
      </c>
    </row>
    <row r="209" spans="4:5" ht="15.75">
      <c r="D209" s="15" t="s">
        <v>16</v>
      </c>
      <c r="E209" s="20">
        <v>5</v>
      </c>
    </row>
    <row r="210" spans="4:5" ht="15.75">
      <c r="D210" s="15" t="s">
        <v>16</v>
      </c>
      <c r="E210" s="20">
        <v>5</v>
      </c>
    </row>
    <row r="211" spans="4:5" ht="15.75">
      <c r="D211" s="15" t="s">
        <v>16</v>
      </c>
      <c r="E211" s="20">
        <v>5</v>
      </c>
    </row>
    <row r="212" spans="4:5" ht="15.75">
      <c r="D212" s="15" t="s">
        <v>16</v>
      </c>
      <c r="E212" s="20">
        <v>7</v>
      </c>
    </row>
    <row r="213" spans="4:5" ht="15.75">
      <c r="D213" s="15" t="s">
        <v>16</v>
      </c>
      <c r="E213" s="20">
        <v>7</v>
      </c>
    </row>
    <row r="214" spans="4:5" ht="15.75">
      <c r="D214" s="15" t="s">
        <v>16</v>
      </c>
      <c r="E214" s="20">
        <v>4</v>
      </c>
    </row>
    <row r="215" spans="4:5" ht="15.75">
      <c r="D215" s="15" t="s">
        <v>16</v>
      </c>
      <c r="E215" s="20">
        <v>4</v>
      </c>
    </row>
    <row r="216" spans="4:5" ht="15.75">
      <c r="D216" s="15" t="s">
        <v>16</v>
      </c>
      <c r="E216" s="20">
        <v>7</v>
      </c>
    </row>
    <row r="217" spans="4:5" ht="15.75">
      <c r="D217" s="15" t="s">
        <v>16</v>
      </c>
      <c r="E217" s="20">
        <v>3</v>
      </c>
    </row>
    <row r="218" spans="4:5" ht="15.75">
      <c r="D218" s="15" t="s">
        <v>16</v>
      </c>
      <c r="E218" s="20">
        <v>3</v>
      </c>
    </row>
    <row r="219" spans="4:5" ht="15.75">
      <c r="D219" s="15" t="s">
        <v>16</v>
      </c>
      <c r="E219" s="20">
        <v>5</v>
      </c>
    </row>
    <row r="220" spans="4:5" ht="15.75">
      <c r="D220" s="15" t="s">
        <v>16</v>
      </c>
      <c r="E220" s="20">
        <v>6</v>
      </c>
    </row>
    <row r="221" spans="4:5" ht="15.75">
      <c r="D221" s="15" t="s">
        <v>16</v>
      </c>
      <c r="E221" s="20">
        <v>6</v>
      </c>
    </row>
    <row r="222" spans="4:5" ht="15.75">
      <c r="D222" s="15" t="s">
        <v>16</v>
      </c>
      <c r="E222" s="20">
        <v>7</v>
      </c>
    </row>
    <row r="223" spans="4:5" ht="15.75">
      <c r="D223" s="15" t="s">
        <v>16</v>
      </c>
      <c r="E223" s="20">
        <v>2</v>
      </c>
    </row>
    <row r="224" spans="4:5" ht="15.75">
      <c r="D224" s="15" t="s">
        <v>16</v>
      </c>
      <c r="E224" s="20">
        <v>3</v>
      </c>
    </row>
    <row r="225" spans="4:5" ht="15.75">
      <c r="D225" s="15" t="s">
        <v>16</v>
      </c>
      <c r="E225" s="20">
        <v>5</v>
      </c>
    </row>
    <row r="226" spans="4:5" ht="15.75">
      <c r="D226" s="15" t="s">
        <v>16</v>
      </c>
      <c r="E226" s="20">
        <v>3</v>
      </c>
    </row>
    <row r="227" spans="4:5" ht="15.75">
      <c r="D227" s="15" t="s">
        <v>16</v>
      </c>
      <c r="E227" s="20">
        <v>6</v>
      </c>
    </row>
    <row r="228" spans="4:5" ht="15.75">
      <c r="D228" s="15" t="s">
        <v>16</v>
      </c>
      <c r="E228" s="20">
        <v>3</v>
      </c>
    </row>
    <row r="229" spans="4:5" ht="15.75">
      <c r="D229" s="15" t="s">
        <v>16</v>
      </c>
      <c r="E229" s="20">
        <v>4</v>
      </c>
    </row>
    <row r="230" spans="4:5" ht="15.75">
      <c r="D230" s="15" t="s">
        <v>16</v>
      </c>
      <c r="E230" s="20">
        <v>5</v>
      </c>
    </row>
    <row r="231" spans="4:5" ht="15.75">
      <c r="D231" s="15" t="s">
        <v>16</v>
      </c>
      <c r="E231" s="20">
        <v>5</v>
      </c>
    </row>
    <row r="232" spans="4:5" ht="15.75">
      <c r="D232" s="15" t="s">
        <v>16</v>
      </c>
      <c r="E232" s="20">
        <v>4</v>
      </c>
    </row>
    <row r="233" spans="4:5" ht="15.75">
      <c r="D233" s="15" t="s">
        <v>16</v>
      </c>
      <c r="E233" s="20">
        <v>7</v>
      </c>
    </row>
    <row r="234" spans="4:5" ht="15.75">
      <c r="D234" s="15" t="s">
        <v>16</v>
      </c>
      <c r="E234" s="20">
        <v>5</v>
      </c>
    </row>
    <row r="235" spans="4:5" ht="15.75">
      <c r="D235" s="15" t="s">
        <v>16</v>
      </c>
      <c r="E235" s="20">
        <v>5</v>
      </c>
    </row>
    <row r="236" spans="4:5" ht="15.75">
      <c r="D236" s="15" t="s">
        <v>16</v>
      </c>
      <c r="E236" s="20">
        <v>2</v>
      </c>
    </row>
    <row r="237" spans="4:5" ht="15.75">
      <c r="D237" s="15" t="s">
        <v>16</v>
      </c>
      <c r="E237" s="20">
        <v>7</v>
      </c>
    </row>
    <row r="238" spans="4:5" ht="15.75">
      <c r="D238" s="15" t="s">
        <v>16</v>
      </c>
      <c r="E238" s="20">
        <v>7</v>
      </c>
    </row>
    <row r="239" spans="4:5" ht="15.75">
      <c r="D239" s="15" t="s">
        <v>16</v>
      </c>
      <c r="E239" s="20">
        <v>5</v>
      </c>
    </row>
    <row r="240" spans="4:5" ht="15.75">
      <c r="D240" s="15" t="s">
        <v>16</v>
      </c>
      <c r="E240" s="20">
        <v>7</v>
      </c>
    </row>
    <row r="241" spans="4:5" ht="15.75">
      <c r="D241" s="15" t="s">
        <v>16</v>
      </c>
      <c r="E241" s="20">
        <v>6</v>
      </c>
    </row>
    <row r="242" spans="4:5" ht="15.75">
      <c r="D242" s="15" t="s">
        <v>16</v>
      </c>
      <c r="E242" s="20">
        <v>8</v>
      </c>
    </row>
    <row r="243" spans="4:5" ht="15.75">
      <c r="D243" s="15" t="s">
        <v>16</v>
      </c>
      <c r="E243" s="20">
        <v>8</v>
      </c>
    </row>
    <row r="244" spans="4:5" ht="15.75">
      <c r="D244" s="15" t="s">
        <v>16</v>
      </c>
      <c r="E244" s="20">
        <v>6</v>
      </c>
    </row>
    <row r="245" spans="4:5" ht="15.75">
      <c r="D245" s="15" t="s">
        <v>16</v>
      </c>
      <c r="E245" s="20">
        <v>4</v>
      </c>
    </row>
    <row r="246" spans="4:5" ht="15.75">
      <c r="D246" s="15" t="s">
        <v>16</v>
      </c>
      <c r="E246" s="20">
        <v>1</v>
      </c>
    </row>
    <row r="247" spans="4:5" ht="15.75">
      <c r="D247" s="15" t="s">
        <v>16</v>
      </c>
      <c r="E247" s="20">
        <v>7</v>
      </c>
    </row>
    <row r="248" spans="4:5" ht="15.75">
      <c r="D248" s="15" t="s">
        <v>16</v>
      </c>
      <c r="E248" s="20">
        <v>6</v>
      </c>
    </row>
    <row r="249" spans="4:5" ht="15.75">
      <c r="D249" s="15" t="s">
        <v>16</v>
      </c>
      <c r="E249" s="20">
        <v>5</v>
      </c>
    </row>
    <row r="250" spans="4:5" ht="15.75">
      <c r="D250" s="15" t="s">
        <v>16</v>
      </c>
      <c r="E250" s="20">
        <v>6</v>
      </c>
    </row>
    <row r="251" spans="4:5" ht="15.75">
      <c r="D251" s="15" t="s">
        <v>16</v>
      </c>
      <c r="E251" s="20">
        <v>5</v>
      </c>
    </row>
    <row r="252" spans="4:5" ht="15.75">
      <c r="D252" s="15" t="s">
        <v>16</v>
      </c>
      <c r="E252" s="20">
        <v>5</v>
      </c>
    </row>
    <row r="253" spans="4:5" ht="15.75">
      <c r="D253" s="15" t="s">
        <v>16</v>
      </c>
      <c r="E253" s="20">
        <v>4</v>
      </c>
    </row>
    <row r="254" spans="4:5" ht="15.75">
      <c r="D254" s="15" t="s">
        <v>16</v>
      </c>
      <c r="E254" s="20">
        <v>8</v>
      </c>
    </row>
    <row r="255" spans="4:5" ht="15.75">
      <c r="D255" s="15" t="s">
        <v>16</v>
      </c>
      <c r="E255" s="20">
        <v>7</v>
      </c>
    </row>
    <row r="256" spans="4:5" ht="15.75">
      <c r="D256" s="15" t="s">
        <v>16</v>
      </c>
      <c r="E256" s="20">
        <v>5</v>
      </c>
    </row>
    <row r="257" spans="4:5" ht="15.75">
      <c r="D257" s="15" t="s">
        <v>16</v>
      </c>
      <c r="E257" s="20">
        <v>6</v>
      </c>
    </row>
    <row r="258" spans="4:5" ht="15.75">
      <c r="D258" s="15" t="s">
        <v>16</v>
      </c>
      <c r="E258" s="20">
        <v>6</v>
      </c>
    </row>
    <row r="259" spans="4:5" ht="15.75">
      <c r="D259" s="15" t="s">
        <v>16</v>
      </c>
      <c r="E259" s="20">
        <v>7</v>
      </c>
    </row>
    <row r="260" spans="4:5" ht="15.75">
      <c r="D260" s="15" t="s">
        <v>16</v>
      </c>
      <c r="E260" s="20">
        <v>6</v>
      </c>
    </row>
    <row r="261" spans="4:5" ht="15.75">
      <c r="D261" s="15" t="s">
        <v>16</v>
      </c>
      <c r="E261" s="20">
        <v>6</v>
      </c>
    </row>
    <row r="262" spans="4:5" ht="15.75">
      <c r="D262" s="15" t="s">
        <v>16</v>
      </c>
      <c r="E262" s="20">
        <v>5</v>
      </c>
    </row>
    <row r="263" spans="4:5" ht="15.75">
      <c r="D263" s="15" t="s">
        <v>16</v>
      </c>
      <c r="E263" s="20">
        <v>2</v>
      </c>
    </row>
    <row r="264" spans="4:5" ht="15.75">
      <c r="D264" s="15" t="s">
        <v>16</v>
      </c>
      <c r="E264" s="20">
        <v>8</v>
      </c>
    </row>
    <row r="265" spans="4:5" ht="15.75">
      <c r="D265" s="15" t="s">
        <v>16</v>
      </c>
      <c r="E265" s="20">
        <v>5</v>
      </c>
    </row>
    <row r="266" spans="4:5" ht="15.75">
      <c r="D266" s="15" t="s">
        <v>16</v>
      </c>
      <c r="E266" s="20">
        <v>5</v>
      </c>
    </row>
    <row r="267" spans="4:5" ht="15.75">
      <c r="D267" s="15" t="s">
        <v>16</v>
      </c>
      <c r="E267" s="20">
        <v>2</v>
      </c>
    </row>
    <row r="268" spans="4:5" ht="15.75">
      <c r="D268" s="15" t="s">
        <v>16</v>
      </c>
      <c r="E268" s="20">
        <v>5</v>
      </c>
    </row>
    <row r="269" spans="4:5" ht="15.75">
      <c r="D269" s="15" t="s">
        <v>16</v>
      </c>
      <c r="E269" s="20">
        <v>5</v>
      </c>
    </row>
    <row r="270" spans="4:5" ht="15.75">
      <c r="D270" s="15" t="s">
        <v>16</v>
      </c>
      <c r="E270" s="20">
        <v>5</v>
      </c>
    </row>
    <row r="271" spans="4:5" ht="15.75">
      <c r="D271" s="15" t="s">
        <v>16</v>
      </c>
      <c r="E271" s="20">
        <v>5</v>
      </c>
    </row>
    <row r="272" spans="4:5" ht="15.75">
      <c r="D272" s="15" t="s">
        <v>16</v>
      </c>
      <c r="E272" s="20">
        <v>5</v>
      </c>
    </row>
    <row r="273" spans="4:5" ht="15.75">
      <c r="D273" s="15" t="s">
        <v>16</v>
      </c>
      <c r="E273" s="20">
        <v>7</v>
      </c>
    </row>
    <row r="274" spans="4:5" ht="15.75">
      <c r="D274" s="15" t="s">
        <v>16</v>
      </c>
      <c r="E274" s="20">
        <v>8</v>
      </c>
    </row>
    <row r="275" spans="4:5" ht="15.75">
      <c r="D275" s="15" t="s">
        <v>16</v>
      </c>
      <c r="E275" s="20">
        <v>7</v>
      </c>
    </row>
    <row r="276" spans="4:5" ht="15.75">
      <c r="D276" s="15" t="s">
        <v>16</v>
      </c>
      <c r="E276" s="20">
        <v>10</v>
      </c>
    </row>
    <row r="277" spans="4:5" ht="15.75">
      <c r="D277" s="15" t="s">
        <v>16</v>
      </c>
      <c r="E277" s="20">
        <v>5</v>
      </c>
    </row>
    <row r="278" spans="4:5" ht="15.75">
      <c r="D278" s="15" t="s">
        <v>16</v>
      </c>
      <c r="E278" s="20">
        <v>2</v>
      </c>
    </row>
    <row r="279" spans="4:5" ht="15.75">
      <c r="D279" s="15" t="s">
        <v>16</v>
      </c>
      <c r="E279" s="20">
        <v>7</v>
      </c>
    </row>
    <row r="280" spans="4:5" ht="15.75">
      <c r="D280" s="15" t="s">
        <v>16</v>
      </c>
      <c r="E280" s="20">
        <v>2</v>
      </c>
    </row>
    <row r="281" spans="4:5" ht="15.75">
      <c r="D281" s="15" t="s">
        <v>16</v>
      </c>
      <c r="E281" s="20">
        <v>6</v>
      </c>
    </row>
    <row r="282" spans="4:5" ht="15.75">
      <c r="D282" s="15" t="s">
        <v>16</v>
      </c>
      <c r="E282" s="20">
        <v>5</v>
      </c>
    </row>
    <row r="283" spans="4:5" ht="15.75">
      <c r="D283" s="15" t="s">
        <v>16</v>
      </c>
      <c r="E283" s="20">
        <v>7</v>
      </c>
    </row>
    <row r="284" spans="4:5" ht="15.75">
      <c r="D284" s="15" t="s">
        <v>16</v>
      </c>
      <c r="E284" s="20">
        <v>5</v>
      </c>
    </row>
    <row r="285" spans="4:5" ht="15.75">
      <c r="D285" s="15" t="s">
        <v>16</v>
      </c>
      <c r="E285" s="20">
        <v>3</v>
      </c>
    </row>
    <row r="286" spans="4:5" ht="15.75">
      <c r="D286" s="15" t="s">
        <v>16</v>
      </c>
      <c r="E286" s="20">
        <v>2</v>
      </c>
    </row>
    <row r="287" spans="4:5" ht="15.75">
      <c r="D287" s="15" t="s">
        <v>16</v>
      </c>
      <c r="E287" s="20">
        <v>7</v>
      </c>
    </row>
    <row r="288" spans="4:5" ht="15.75">
      <c r="D288" s="15" t="s">
        <v>16</v>
      </c>
      <c r="E288" s="20">
        <v>7</v>
      </c>
    </row>
    <row r="289" spans="4:5" ht="15.75">
      <c r="D289" s="15" t="s">
        <v>16</v>
      </c>
      <c r="E289" s="20">
        <v>6</v>
      </c>
    </row>
    <row r="290" spans="4:5" ht="15.75">
      <c r="D290" s="15" t="s">
        <v>16</v>
      </c>
      <c r="E290" s="20">
        <v>7</v>
      </c>
    </row>
    <row r="291" spans="4:5" ht="15.75">
      <c r="D291" s="15" t="s">
        <v>16</v>
      </c>
      <c r="E291" s="20">
        <v>7</v>
      </c>
    </row>
    <row r="292" spans="4:5" ht="15.75">
      <c r="D292" s="15" t="s">
        <v>16</v>
      </c>
      <c r="E292" s="20">
        <v>7</v>
      </c>
    </row>
    <row r="293" spans="4:5" ht="15.75">
      <c r="D293" s="15" t="s">
        <v>16</v>
      </c>
      <c r="E293" s="20">
        <v>5</v>
      </c>
    </row>
    <row r="294" spans="4:5" ht="15.75">
      <c r="D294" s="15" t="s">
        <v>16</v>
      </c>
      <c r="E294" s="20">
        <v>4</v>
      </c>
    </row>
    <row r="295" spans="4:5" ht="15.75">
      <c r="D295" s="15" t="s">
        <v>16</v>
      </c>
      <c r="E295" s="20">
        <v>8</v>
      </c>
    </row>
    <row r="296" spans="4:5" ht="15.75">
      <c r="D296" s="15" t="s">
        <v>16</v>
      </c>
      <c r="E296" s="20">
        <v>7</v>
      </c>
    </row>
    <row r="297" spans="4:5" ht="15.75">
      <c r="D297" s="15" t="s">
        <v>16</v>
      </c>
      <c r="E297" s="20">
        <v>7</v>
      </c>
    </row>
    <row r="298" spans="4:5" ht="15.75">
      <c r="D298" s="15" t="s">
        <v>16</v>
      </c>
      <c r="E298" s="20">
        <v>5</v>
      </c>
    </row>
    <row r="299" spans="4:5" ht="15.75">
      <c r="D299" s="15" t="s">
        <v>16</v>
      </c>
      <c r="E299" s="20">
        <v>6</v>
      </c>
    </row>
    <row r="300" spans="4:5" ht="15.75">
      <c r="D300" s="15" t="s">
        <v>16</v>
      </c>
      <c r="E300" s="20">
        <v>5</v>
      </c>
    </row>
    <row r="301" spans="4:5" ht="15.75">
      <c r="D301" s="15" t="s">
        <v>16</v>
      </c>
      <c r="E301" s="20">
        <v>2</v>
      </c>
    </row>
    <row r="302" spans="4:5" ht="15.75">
      <c r="D302" s="15" t="s">
        <v>16</v>
      </c>
      <c r="E302" s="20">
        <v>4</v>
      </c>
    </row>
    <row r="303" spans="4:5" ht="15.75">
      <c r="D303" s="15" t="s">
        <v>16</v>
      </c>
      <c r="E303" s="20">
        <v>8</v>
      </c>
    </row>
    <row r="304" spans="4:5" ht="15.75">
      <c r="D304" s="15" t="s">
        <v>16</v>
      </c>
      <c r="E304" s="20">
        <v>4</v>
      </c>
    </row>
    <row r="305" spans="4:5" ht="15.75">
      <c r="D305" s="15" t="s">
        <v>16</v>
      </c>
      <c r="E305" s="20">
        <v>8</v>
      </c>
    </row>
    <row r="306" spans="4:5" ht="15.75">
      <c r="D306" s="15" t="s">
        <v>16</v>
      </c>
      <c r="E306" s="20">
        <v>5</v>
      </c>
    </row>
    <row r="307" spans="4:5" ht="15.75">
      <c r="D307" s="15" t="s">
        <v>16</v>
      </c>
      <c r="E307" s="20">
        <v>8</v>
      </c>
    </row>
    <row r="308" spans="4:5" ht="15.75">
      <c r="D308" s="15" t="s">
        <v>16</v>
      </c>
      <c r="E308" s="20">
        <v>6</v>
      </c>
    </row>
    <row r="309" spans="4:5" ht="15.75">
      <c r="D309" s="15" t="s">
        <v>16</v>
      </c>
      <c r="E309" s="20">
        <v>7</v>
      </c>
    </row>
    <row r="310" spans="4:5" ht="15.75">
      <c r="D310" s="15" t="s">
        <v>16</v>
      </c>
      <c r="E310" s="20">
        <v>6</v>
      </c>
    </row>
    <row r="311" spans="4:5" ht="15.75">
      <c r="D311" s="15" t="s">
        <v>16</v>
      </c>
      <c r="E311" s="20">
        <v>6</v>
      </c>
    </row>
    <row r="312" spans="4:5" ht="15.75">
      <c r="D312" s="15" t="s">
        <v>16</v>
      </c>
      <c r="E312" s="20">
        <v>8</v>
      </c>
    </row>
    <row r="313" spans="4:5" ht="15.75">
      <c r="D313" s="15" t="s">
        <v>16</v>
      </c>
      <c r="E313" s="20">
        <v>7</v>
      </c>
    </row>
    <row r="314" spans="4:5" ht="15.75">
      <c r="D314" s="15" t="s">
        <v>16</v>
      </c>
      <c r="E314" s="20">
        <v>7</v>
      </c>
    </row>
    <row r="315" spans="4:5" ht="15.75">
      <c r="D315" s="15" t="s">
        <v>16</v>
      </c>
      <c r="E315" s="20">
        <v>8</v>
      </c>
    </row>
    <row r="316" spans="4:5" ht="15.75">
      <c r="D316" s="15" t="s">
        <v>16</v>
      </c>
      <c r="E316" s="20">
        <v>8</v>
      </c>
    </row>
    <row r="317" spans="4:5" ht="15.75">
      <c r="D317" s="15" t="s">
        <v>16</v>
      </c>
      <c r="E317" s="20">
        <v>9</v>
      </c>
    </row>
    <row r="318" spans="4:5" ht="15.75">
      <c r="D318" s="15" t="s">
        <v>16</v>
      </c>
      <c r="E318" s="20">
        <v>8</v>
      </c>
    </row>
    <row r="319" spans="4:5" ht="15.75">
      <c r="D319" s="15" t="s">
        <v>16</v>
      </c>
      <c r="E319" s="20">
        <v>4</v>
      </c>
    </row>
    <row r="320" spans="4:5" ht="15.75">
      <c r="D320" s="15" t="s">
        <v>16</v>
      </c>
      <c r="E320" s="20">
        <v>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activeCell="B60" sqref="B60"/>
    </sheetView>
  </sheetViews>
  <sheetFormatPr defaultRowHeight="14.25"/>
  <cols>
    <col min="1" max="1" width="12.5" customWidth="1"/>
    <col min="2" max="2" width="15.375" customWidth="1"/>
    <col min="3" max="3" width="16.5" customWidth="1"/>
  </cols>
  <sheetData>
    <row r="1" spans="1:6" ht="18.75">
      <c r="A1" s="3" t="s">
        <v>35</v>
      </c>
      <c r="B1" s="29" t="s">
        <v>36</v>
      </c>
      <c r="C1" s="30"/>
      <c r="D1" s="30"/>
      <c r="E1" s="30"/>
      <c r="F1" s="30"/>
    </row>
    <row r="2" spans="1:6" ht="18.75">
      <c r="A2" s="2"/>
      <c r="B2" s="33" t="s">
        <v>57</v>
      </c>
      <c r="C2" s="42">
        <v>16676.2</v>
      </c>
      <c r="D2" s="2"/>
      <c r="E2" s="2"/>
      <c r="F2" s="2"/>
    </row>
    <row r="3" spans="1:6" ht="18.75">
      <c r="A3" s="2"/>
      <c r="B3" s="33" t="s">
        <v>52</v>
      </c>
      <c r="C3" s="37">
        <v>25679.9</v>
      </c>
      <c r="D3" s="2"/>
      <c r="E3" s="2"/>
      <c r="F3" s="2"/>
    </row>
    <row r="4" spans="1:6" ht="18.75">
      <c r="A4" s="2"/>
      <c r="B4" s="33" t="s">
        <v>45</v>
      </c>
      <c r="C4" s="38">
        <v>31456.2</v>
      </c>
      <c r="D4" s="2"/>
      <c r="E4" s="2"/>
      <c r="F4" s="2"/>
    </row>
    <row r="5" spans="1:6" ht="18.75">
      <c r="A5" s="2"/>
      <c r="B5" s="33" t="s">
        <v>53</v>
      </c>
      <c r="C5" s="38">
        <v>32283.8</v>
      </c>
      <c r="D5" s="2"/>
      <c r="E5" s="2"/>
      <c r="F5" s="2"/>
    </row>
    <row r="6" spans="1:6" ht="18.75">
      <c r="A6" s="2"/>
      <c r="B6" s="33" t="s">
        <v>63</v>
      </c>
      <c r="C6" s="38">
        <v>52022.6</v>
      </c>
      <c r="D6" s="2"/>
      <c r="E6" s="2"/>
      <c r="F6" s="2"/>
    </row>
    <row r="7" spans="1:6" ht="18.75">
      <c r="A7" s="2"/>
      <c r="B7" s="33" t="s">
        <v>54</v>
      </c>
      <c r="C7" s="37">
        <v>56679.7</v>
      </c>
      <c r="D7" s="2"/>
      <c r="E7" s="2"/>
      <c r="F7" s="2"/>
    </row>
    <row r="8" spans="1:6" ht="18.75">
      <c r="A8" s="2"/>
      <c r="B8" s="33" t="s">
        <v>50</v>
      </c>
      <c r="C8" s="37">
        <v>58394.1</v>
      </c>
      <c r="D8" s="2"/>
      <c r="E8" s="2"/>
      <c r="F8" s="2"/>
    </row>
    <row r="9" spans="1:6" ht="18.75">
      <c r="A9" s="2"/>
      <c r="B9" s="33" t="s">
        <v>41</v>
      </c>
      <c r="C9" s="38">
        <v>71378.399999999994</v>
      </c>
      <c r="D9" s="2"/>
      <c r="E9" s="2"/>
      <c r="F9" s="2"/>
    </row>
    <row r="10" spans="1:6" ht="18.75">
      <c r="A10" s="2"/>
      <c r="B10" s="33" t="s">
        <v>55</v>
      </c>
      <c r="C10" s="38">
        <v>73039.5</v>
      </c>
      <c r="D10" s="2"/>
      <c r="E10" s="2"/>
      <c r="F10" s="2"/>
    </row>
    <row r="11" spans="1:6" ht="18.75">
      <c r="A11" s="2"/>
      <c r="B11" s="33" t="s">
        <v>64</v>
      </c>
      <c r="C11" s="37">
        <v>101933.5</v>
      </c>
      <c r="D11" s="2"/>
      <c r="E11" s="2"/>
      <c r="F11" s="2"/>
    </row>
    <row r="12" spans="1:6" ht="18.75">
      <c r="A12" s="2"/>
      <c r="B12" s="33" t="s">
        <v>56</v>
      </c>
      <c r="C12" s="37">
        <v>154971.70000000001</v>
      </c>
      <c r="D12" s="2"/>
      <c r="E12" s="2"/>
      <c r="F12" s="2"/>
    </row>
    <row r="13" spans="1:6" ht="18.75">
      <c r="A13" s="2"/>
      <c r="B13" s="33" t="s">
        <v>47</v>
      </c>
      <c r="C13" s="38">
        <v>184574.6</v>
      </c>
      <c r="D13" s="2"/>
      <c r="E13" s="2"/>
      <c r="F13" s="2"/>
    </row>
    <row r="14" spans="1:6" ht="18.75">
      <c r="A14" s="2"/>
      <c r="B14" s="33" t="s">
        <v>61</v>
      </c>
      <c r="C14" s="38">
        <v>216493.7</v>
      </c>
      <c r="D14" s="2"/>
      <c r="E14" s="2"/>
      <c r="F14" s="2"/>
    </row>
    <row r="15" spans="1:6" ht="18.75">
      <c r="A15" s="2"/>
      <c r="B15" s="33" t="s">
        <v>62</v>
      </c>
      <c r="C15" s="41">
        <v>242260.4</v>
      </c>
      <c r="D15" s="2"/>
      <c r="E15" s="2"/>
      <c r="F15" s="2"/>
    </row>
    <row r="16" spans="1:6" ht="18.75">
      <c r="A16" s="2"/>
      <c r="B16" s="33" t="s">
        <v>42</v>
      </c>
      <c r="C16" s="37">
        <v>246012.3</v>
      </c>
      <c r="D16" s="2"/>
      <c r="E16" s="2"/>
      <c r="F16" s="2"/>
    </row>
    <row r="17" spans="1:6" ht="18.75">
      <c r="A17" s="2"/>
      <c r="B17" s="33" t="s">
        <v>65</v>
      </c>
      <c r="C17" s="39">
        <v>248764</v>
      </c>
      <c r="D17" s="2"/>
      <c r="E17" s="2"/>
      <c r="F17" s="2"/>
    </row>
    <row r="18" spans="1:6" ht="18.75">
      <c r="A18" s="2"/>
      <c r="B18" s="33" t="s">
        <v>43</v>
      </c>
      <c r="C18" s="39">
        <v>345236</v>
      </c>
      <c r="D18" s="2"/>
      <c r="E18" s="2"/>
      <c r="F18" s="2"/>
    </row>
    <row r="19" spans="1:6" ht="18.75">
      <c r="A19" s="2"/>
      <c r="B19" s="33" t="s">
        <v>59</v>
      </c>
      <c r="C19" s="38">
        <v>406232.1</v>
      </c>
      <c r="D19" s="2"/>
      <c r="E19" s="2"/>
      <c r="F19" s="2"/>
    </row>
    <row r="20" spans="1:6" ht="18.75">
      <c r="A20" s="2"/>
      <c r="B20" s="33" t="s">
        <v>46</v>
      </c>
      <c r="C20" s="37">
        <v>449216.5</v>
      </c>
      <c r="D20" s="2"/>
      <c r="E20" s="2"/>
      <c r="F20" s="2"/>
    </row>
    <row r="21" spans="1:6" ht="18.75">
      <c r="A21" s="2"/>
      <c r="B21" s="33" t="s">
        <v>40</v>
      </c>
      <c r="C21" s="37">
        <v>506047.2</v>
      </c>
      <c r="D21" s="2"/>
      <c r="E21" s="2"/>
      <c r="F21" s="2"/>
    </row>
    <row r="22" spans="1:6" ht="18.75">
      <c r="A22" s="2"/>
      <c r="B22" s="33" t="s">
        <v>66</v>
      </c>
      <c r="C22" s="37">
        <v>538597.19999999995</v>
      </c>
      <c r="D22" s="2"/>
      <c r="E22" s="2"/>
      <c r="F22" s="2"/>
    </row>
    <row r="23" spans="1:6" ht="18.75">
      <c r="A23" s="2"/>
      <c r="B23" s="33" t="s">
        <v>60</v>
      </c>
      <c r="C23" s="37">
        <v>583001.4</v>
      </c>
      <c r="D23" s="2"/>
      <c r="E23" s="2"/>
      <c r="F23" s="2"/>
    </row>
    <row r="24" spans="1:6" ht="18.75">
      <c r="A24" s="2"/>
      <c r="B24" s="33" t="s">
        <v>58</v>
      </c>
      <c r="C24" s="40">
        <v>891550</v>
      </c>
      <c r="D24" s="2"/>
      <c r="E24" s="2"/>
      <c r="F24" s="2"/>
    </row>
    <row r="25" spans="1:6" ht="18.75">
      <c r="A25" s="2"/>
      <c r="B25" s="33" t="s">
        <v>48</v>
      </c>
      <c r="C25" s="40">
        <v>1235474</v>
      </c>
      <c r="D25" s="2"/>
      <c r="E25" s="2"/>
      <c r="F25" s="2"/>
    </row>
    <row r="26" spans="1:6" ht="18.75">
      <c r="A26" s="2"/>
      <c r="B26" s="33" t="s">
        <v>51</v>
      </c>
      <c r="C26" s="38">
        <v>1842507.4</v>
      </c>
      <c r="D26" s="2"/>
      <c r="E26" s="2"/>
      <c r="F26" s="2"/>
    </row>
    <row r="27" spans="1:6" ht="18.75">
      <c r="A27" s="2"/>
      <c r="B27" s="33" t="s">
        <v>49</v>
      </c>
      <c r="C27" s="38">
        <v>2508102.2999999998</v>
      </c>
      <c r="D27" s="2"/>
      <c r="E27" s="2"/>
      <c r="F27" s="2"/>
    </row>
    <row r="28" spans="1:6" ht="18.75">
      <c r="A28" s="2"/>
      <c r="B28" s="33" t="s">
        <v>44</v>
      </c>
      <c r="C28" s="40">
        <v>3676460</v>
      </c>
      <c r="D28" s="2"/>
      <c r="E28" s="2"/>
      <c r="F28" s="2"/>
    </row>
    <row r="29" spans="1:6" ht="18.75">
      <c r="A29" s="31" t="s">
        <v>37</v>
      </c>
      <c r="B29" s="32" t="s">
        <v>38</v>
      </c>
      <c r="C29" s="43" t="s">
        <v>39</v>
      </c>
      <c r="D29" s="2"/>
      <c r="E29" s="2"/>
      <c r="F29" s="2"/>
    </row>
    <row r="30" spans="1:6" ht="18.75">
      <c r="A30" s="2"/>
      <c r="B30" s="35"/>
      <c r="C30" s="35"/>
      <c r="D30" s="2"/>
      <c r="E30" s="2"/>
      <c r="F30" s="2"/>
    </row>
    <row r="31" spans="1:6" ht="18.75">
      <c r="A31" s="2"/>
      <c r="B31" s="36" t="s">
        <v>67</v>
      </c>
      <c r="C31" s="2"/>
      <c r="D31" s="2"/>
      <c r="E31" s="2"/>
      <c r="F31" s="2"/>
    </row>
    <row r="32" spans="1:6" ht="18.75">
      <c r="A32" s="2"/>
      <c r="B32" s="36" t="s">
        <v>68</v>
      </c>
      <c r="C32" s="2"/>
      <c r="D32" s="2"/>
      <c r="E32" s="2"/>
      <c r="F32" s="2"/>
    </row>
    <row r="33" spans="1:6" ht="18.75">
      <c r="A33" s="2"/>
      <c r="B33" s="36" t="s">
        <v>69</v>
      </c>
      <c r="C33" s="2"/>
      <c r="D33" s="2"/>
      <c r="E33" s="2"/>
      <c r="F33" s="2"/>
    </row>
    <row r="34" spans="1:6" ht="18.75">
      <c r="A34" s="2"/>
      <c r="B34" s="36" t="s">
        <v>70</v>
      </c>
      <c r="C34" s="2"/>
      <c r="D34" s="2"/>
      <c r="E34" s="2"/>
      <c r="F34" s="2"/>
    </row>
    <row r="35" spans="1:6" ht="18.75">
      <c r="A35" s="2"/>
      <c r="B35" s="36" t="s">
        <v>71</v>
      </c>
      <c r="C35" s="2"/>
      <c r="D35" s="2"/>
      <c r="E35" s="2"/>
      <c r="F35" s="2"/>
    </row>
    <row r="36" spans="1:6" ht="15" thickBot="1"/>
    <row r="37" spans="1:6">
      <c r="B37" s="44" t="s">
        <v>84</v>
      </c>
      <c r="C37" s="44"/>
    </row>
    <row r="38" spans="1:6">
      <c r="B38" s="25"/>
      <c r="C38" s="25"/>
    </row>
    <row r="39" spans="1:6">
      <c r="B39" s="25" t="s">
        <v>20</v>
      </c>
      <c r="C39" s="25">
        <v>547964.61851851852</v>
      </c>
    </row>
    <row r="40" spans="1:6">
      <c r="B40" s="25" t="s">
        <v>72</v>
      </c>
      <c r="C40" s="25">
        <v>164979.07058718533</v>
      </c>
    </row>
    <row r="41" spans="1:6">
      <c r="B41" s="25" t="s">
        <v>73</v>
      </c>
      <c r="C41" s="25">
        <v>242260.4</v>
      </c>
    </row>
    <row r="42" spans="1:6">
      <c r="B42" s="25" t="s">
        <v>74</v>
      </c>
      <c r="C42" s="25" t="e">
        <v>#N/A</v>
      </c>
    </row>
    <row r="43" spans="1:6">
      <c r="B43" s="25" t="s">
        <v>75</v>
      </c>
      <c r="C43" s="25">
        <v>857256.39732749155</v>
      </c>
    </row>
    <row r="44" spans="1:6">
      <c r="B44" s="25" t="s">
        <v>76</v>
      </c>
      <c r="C44" s="28">
        <v>734888530758.91003</v>
      </c>
    </row>
    <row r="45" spans="1:6">
      <c r="B45" s="25" t="s">
        <v>77</v>
      </c>
      <c r="C45" s="25">
        <v>6.8763058142465256</v>
      </c>
    </row>
    <row r="46" spans="1:6">
      <c r="B46" s="25" t="s">
        <v>78</v>
      </c>
      <c r="C46" s="25">
        <v>2.5857639459138095</v>
      </c>
    </row>
    <row r="47" spans="1:6">
      <c r="B47" s="25" t="s">
        <v>79</v>
      </c>
      <c r="C47" s="25">
        <v>3659783.8</v>
      </c>
    </row>
    <row r="48" spans="1:6">
      <c r="B48" s="25" t="s">
        <v>80</v>
      </c>
      <c r="C48" s="25">
        <v>16676.2</v>
      </c>
    </row>
    <row r="49" spans="2:3">
      <c r="B49" s="25" t="s">
        <v>81</v>
      </c>
      <c r="C49" s="25">
        <v>3676460</v>
      </c>
    </row>
    <row r="50" spans="2:3">
      <c r="B50" s="25" t="s">
        <v>82</v>
      </c>
      <c r="C50" s="25">
        <v>14795044.699999999</v>
      </c>
    </row>
    <row r="51" spans="2:3" ht="15" thickBot="1">
      <c r="B51" s="26" t="s">
        <v>83</v>
      </c>
      <c r="C51" s="26">
        <v>27</v>
      </c>
    </row>
    <row r="52" spans="2:3">
      <c r="B52" s="25" t="s">
        <v>85</v>
      </c>
      <c r="C52">
        <f>(C43/C39)*100</f>
        <v>156.44374989852022</v>
      </c>
    </row>
    <row r="55" spans="2:3">
      <c r="B55" t="s">
        <v>86</v>
      </c>
      <c r="C55" s="25">
        <v>164979.07058718533</v>
      </c>
    </row>
    <row r="56" spans="2:3">
      <c r="B56" t="s">
        <v>87</v>
      </c>
      <c r="C56">
        <f>1.96*C55</f>
        <v>323358.97835088323</v>
      </c>
    </row>
    <row r="57" spans="2:3">
      <c r="B57" t="s">
        <v>88</v>
      </c>
      <c r="C57">
        <f>C39-C56</f>
        <v>224605.64016763528</v>
      </c>
    </row>
    <row r="58" spans="2:3">
      <c r="B58" t="s">
        <v>89</v>
      </c>
      <c r="C58">
        <f>C39+C56</f>
        <v>871323.59686940175</v>
      </c>
    </row>
  </sheetData>
  <sortState ref="A2:C29">
    <sortCondition ref="C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7"/>
  <sheetViews>
    <sheetView tabSelected="1" topLeftCell="A106" workbookViewId="0">
      <selection activeCell="B136" sqref="B136"/>
    </sheetView>
  </sheetViews>
  <sheetFormatPr defaultRowHeight="14.25"/>
  <cols>
    <col min="2" max="2" width="31.875" customWidth="1"/>
    <col min="3" max="3" width="15.625" customWidth="1"/>
    <col min="4" max="4" width="16.75" customWidth="1"/>
    <col min="6" max="6" width="11.875" customWidth="1"/>
    <col min="7" max="7" width="14.5" bestFit="1" customWidth="1"/>
    <col min="9" max="9" width="14.5" bestFit="1" customWidth="1"/>
  </cols>
  <sheetData>
    <row r="1" spans="1:9" ht="18.75">
      <c r="A1" s="3" t="s">
        <v>90</v>
      </c>
      <c r="B1" s="45" t="s">
        <v>91</v>
      </c>
      <c r="C1" s="46"/>
      <c r="D1" s="46"/>
      <c r="E1" s="46"/>
      <c r="F1" s="46"/>
    </row>
    <row r="2" spans="1:9" ht="18.75">
      <c r="A2" s="2"/>
      <c r="B2" s="47" t="s">
        <v>92</v>
      </c>
      <c r="C2" s="48" t="s">
        <v>93</v>
      </c>
      <c r="D2" s="49" t="s">
        <v>94</v>
      </c>
      <c r="E2" s="2"/>
      <c r="F2" s="2"/>
    </row>
    <row r="3" spans="1:9" ht="19.5" thickBot="1">
      <c r="A3" s="2"/>
      <c r="B3" s="50" t="s">
        <v>38</v>
      </c>
      <c r="C3" s="50" t="s">
        <v>112</v>
      </c>
      <c r="D3" s="51" t="s">
        <v>113</v>
      </c>
      <c r="E3" s="2"/>
      <c r="F3" s="2"/>
    </row>
    <row r="4" spans="1:9" ht="18.75">
      <c r="A4" s="31" t="s">
        <v>95</v>
      </c>
      <c r="B4" s="52" t="s">
        <v>40</v>
      </c>
      <c r="C4" s="56">
        <v>338516.6</v>
      </c>
      <c r="D4" s="60">
        <v>444089.5</v>
      </c>
      <c r="E4" s="2"/>
      <c r="F4" s="27" t="s">
        <v>115</v>
      </c>
      <c r="G4" s="27"/>
      <c r="H4" s="27" t="s">
        <v>114</v>
      </c>
      <c r="I4" s="27"/>
    </row>
    <row r="5" spans="1:9" ht="18.75">
      <c r="A5" s="2"/>
      <c r="B5" s="52" t="s">
        <v>41</v>
      </c>
      <c r="C5" s="57">
        <v>34405.1</v>
      </c>
      <c r="D5" s="57">
        <v>42353.599999999999</v>
      </c>
      <c r="E5" s="2"/>
      <c r="F5" s="25"/>
      <c r="G5" s="25"/>
      <c r="H5" s="25"/>
      <c r="I5" s="25"/>
    </row>
    <row r="6" spans="1:9" ht="18.75">
      <c r="A6" s="2"/>
      <c r="B6" s="52" t="s">
        <v>42</v>
      </c>
      <c r="C6" s="56">
        <v>147526.79999999999</v>
      </c>
      <c r="D6" s="60">
        <v>164405.29999999999</v>
      </c>
      <c r="E6" s="2"/>
      <c r="F6" s="25" t="s">
        <v>20</v>
      </c>
      <c r="G6" s="28">
        <v>165350.20000000004</v>
      </c>
      <c r="H6" s="25" t="s">
        <v>20</v>
      </c>
      <c r="I6" s="28">
        <v>210690.32285714289</v>
      </c>
    </row>
    <row r="7" spans="1:9" ht="18.75">
      <c r="A7" s="2"/>
      <c r="B7" s="52" t="s">
        <v>43</v>
      </c>
      <c r="C7" s="57">
        <v>119279.1</v>
      </c>
      <c r="D7" s="57">
        <v>181554.8</v>
      </c>
      <c r="E7" s="2"/>
      <c r="F7" s="25" t="s">
        <v>72</v>
      </c>
      <c r="G7" s="28">
        <v>41365.443886209454</v>
      </c>
      <c r="H7" s="25" t="s">
        <v>72</v>
      </c>
      <c r="I7" s="28">
        <v>48751.805135584997</v>
      </c>
    </row>
    <row r="8" spans="1:9" ht="18.75">
      <c r="A8" s="2"/>
      <c r="B8" s="52" t="s">
        <v>44</v>
      </c>
      <c r="C8" s="58">
        <v>1222742</v>
      </c>
      <c r="D8" s="61">
        <v>1378637</v>
      </c>
      <c r="E8" s="2"/>
      <c r="F8" s="25" t="s">
        <v>73</v>
      </c>
      <c r="G8" s="28">
        <v>70177.399999999994</v>
      </c>
      <c r="H8" s="25" t="s">
        <v>73</v>
      </c>
      <c r="I8" s="28">
        <v>99176</v>
      </c>
    </row>
    <row r="9" spans="1:9" ht="18.75">
      <c r="A9" s="2"/>
      <c r="B9" s="52" t="s">
        <v>45</v>
      </c>
      <c r="C9" s="57">
        <v>16419.599999999999</v>
      </c>
      <c r="D9" s="57">
        <v>25431.9</v>
      </c>
      <c r="E9" s="2"/>
      <c r="F9" s="25" t="s">
        <v>74</v>
      </c>
      <c r="G9" s="28" t="e">
        <v>#N/A</v>
      </c>
      <c r="H9" s="25" t="s">
        <v>74</v>
      </c>
      <c r="I9" s="28" t="e">
        <v>#N/A</v>
      </c>
    </row>
    <row r="10" spans="1:9" ht="18.75">
      <c r="A10" s="2"/>
      <c r="B10" s="52" t="s">
        <v>46</v>
      </c>
      <c r="C10" s="56">
        <v>280655.5</v>
      </c>
      <c r="D10" s="60">
        <v>410421.2</v>
      </c>
      <c r="E10" s="2"/>
      <c r="F10" s="25" t="s">
        <v>75</v>
      </c>
      <c r="G10" s="28">
        <v>244721.26629414537</v>
      </c>
      <c r="H10" s="25" t="s">
        <v>75</v>
      </c>
      <c r="I10" s="28">
        <v>288419.56875224644</v>
      </c>
    </row>
    <row r="11" spans="1:9" ht="18.75">
      <c r="A11" s="2"/>
      <c r="B11" s="52" t="s">
        <v>47</v>
      </c>
      <c r="C11" s="57">
        <v>39459.9</v>
      </c>
      <c r="D11" s="57">
        <v>88138.5</v>
      </c>
      <c r="E11" s="2"/>
      <c r="F11" s="25" t="s">
        <v>76</v>
      </c>
      <c r="G11" s="28">
        <v>59888498176.610008</v>
      </c>
      <c r="H11" s="25" t="s">
        <v>76</v>
      </c>
      <c r="I11" s="28">
        <v>83185847639.231812</v>
      </c>
    </row>
    <row r="12" spans="1:9" ht="18.75">
      <c r="A12" s="2"/>
      <c r="B12" s="52" t="s">
        <v>48</v>
      </c>
      <c r="C12" s="58">
        <v>317822</v>
      </c>
      <c r="D12" s="61">
        <v>404834</v>
      </c>
      <c r="E12" s="2"/>
      <c r="F12" s="25" t="s">
        <v>77</v>
      </c>
      <c r="G12" s="28">
        <v>9.5991489869023461</v>
      </c>
      <c r="H12" s="25" t="s">
        <v>77</v>
      </c>
      <c r="I12" s="28">
        <v>7.2761182437141576</v>
      </c>
    </row>
    <row r="13" spans="1:9" ht="18.75">
      <c r="A13" s="2"/>
      <c r="B13" s="52" t="s">
        <v>49</v>
      </c>
      <c r="C13" s="59">
        <v>540114</v>
      </c>
      <c r="D13" s="57">
        <v>815144.1</v>
      </c>
      <c r="E13" s="2"/>
      <c r="F13" s="25" t="s">
        <v>78</v>
      </c>
      <c r="G13" s="28">
        <v>2.7480557292115368</v>
      </c>
      <c r="H13" s="25" t="s">
        <v>78</v>
      </c>
      <c r="I13" s="28">
        <v>2.453708033068807</v>
      </c>
    </row>
    <row r="14" spans="1:9" ht="18.75">
      <c r="A14" s="2"/>
      <c r="B14" s="52" t="s">
        <v>50</v>
      </c>
      <c r="C14" s="56">
        <v>14791.6</v>
      </c>
      <c r="D14" s="60">
        <v>30673.7</v>
      </c>
      <c r="E14" s="2"/>
      <c r="F14" s="25" t="s">
        <v>79</v>
      </c>
      <c r="G14" s="28">
        <v>1222216.2</v>
      </c>
      <c r="H14" s="25" t="s">
        <v>79</v>
      </c>
      <c r="I14" s="28">
        <v>1375555.1</v>
      </c>
    </row>
    <row r="15" spans="1:9" ht="18.75">
      <c r="A15" s="2"/>
      <c r="B15" s="52" t="s">
        <v>51</v>
      </c>
      <c r="C15" s="57">
        <v>485246.2</v>
      </c>
      <c r="D15" s="57">
        <v>536729.19999999995</v>
      </c>
      <c r="E15" s="2"/>
      <c r="F15" s="25" t="s">
        <v>80</v>
      </c>
      <c r="G15" s="28">
        <v>525.79999999999995</v>
      </c>
      <c r="H15" s="25" t="s">
        <v>80</v>
      </c>
      <c r="I15" s="28">
        <v>3081.9</v>
      </c>
    </row>
    <row r="16" spans="1:9" ht="18.75">
      <c r="A16" s="2"/>
      <c r="B16" s="52" t="s">
        <v>52</v>
      </c>
      <c r="C16" s="56">
        <v>3744.5</v>
      </c>
      <c r="D16" s="60">
        <v>22102.7</v>
      </c>
      <c r="E16" s="2"/>
      <c r="F16" s="25" t="s">
        <v>81</v>
      </c>
      <c r="G16" s="28">
        <v>1222742</v>
      </c>
      <c r="H16" s="25" t="s">
        <v>81</v>
      </c>
      <c r="I16" s="28">
        <v>1378637</v>
      </c>
    </row>
    <row r="17" spans="1:9" ht="18.75">
      <c r="A17" s="2"/>
      <c r="B17" s="52" t="s">
        <v>53</v>
      </c>
      <c r="C17" s="57">
        <v>16221.8</v>
      </c>
      <c r="D17" s="57">
        <v>22593.9</v>
      </c>
      <c r="E17" s="2"/>
      <c r="F17" s="25" t="s">
        <v>82</v>
      </c>
      <c r="G17" s="28">
        <v>5787257.0000000009</v>
      </c>
      <c r="H17" s="25" t="s">
        <v>82</v>
      </c>
      <c r="I17" s="28">
        <v>7374161.3000000017</v>
      </c>
    </row>
    <row r="18" spans="1:9" ht="19.5" thickBot="1">
      <c r="A18" s="2"/>
      <c r="B18" s="52" t="s">
        <v>54</v>
      </c>
      <c r="C18" s="56">
        <v>31561.9</v>
      </c>
      <c r="D18" s="61">
        <v>42610</v>
      </c>
      <c r="E18" s="2"/>
      <c r="F18" s="26" t="s">
        <v>83</v>
      </c>
      <c r="G18" s="62">
        <v>35</v>
      </c>
      <c r="H18" s="26" t="s">
        <v>83</v>
      </c>
      <c r="I18" s="62">
        <v>35</v>
      </c>
    </row>
    <row r="19" spans="1:9" ht="18.75">
      <c r="A19" s="2"/>
      <c r="B19" s="52" t="s">
        <v>55</v>
      </c>
      <c r="C19" s="57">
        <v>24660.6</v>
      </c>
      <c r="D19" s="57">
        <v>132850.1</v>
      </c>
      <c r="E19" s="2"/>
      <c r="F19" s="63" t="s">
        <v>116</v>
      </c>
      <c r="G19">
        <f>(G10/G6)*100</f>
        <v>148.00179636561995</v>
      </c>
      <c r="H19" s="64" t="s">
        <v>116</v>
      </c>
      <c r="I19">
        <f>(I10/I6)*100</f>
        <v>136.89265118636101</v>
      </c>
    </row>
    <row r="20" spans="1:9" ht="18.75">
      <c r="A20" s="2"/>
      <c r="B20" s="52" t="s">
        <v>56</v>
      </c>
      <c r="C20" s="56">
        <v>100294.39999999999</v>
      </c>
      <c r="D20" s="60">
        <v>122906.7</v>
      </c>
      <c r="E20" s="2"/>
      <c r="F20" s="2"/>
    </row>
    <row r="21" spans="1:9" ht="18.75">
      <c r="A21" s="2"/>
      <c r="B21" s="52" t="s">
        <v>57</v>
      </c>
      <c r="C21" s="57">
        <v>3226.4</v>
      </c>
      <c r="D21" s="57">
        <v>17038.3</v>
      </c>
      <c r="E21" s="2"/>
      <c r="F21" s="2"/>
    </row>
    <row r="22" spans="1:9" ht="18.75">
      <c r="A22" s="2"/>
      <c r="B22" s="52" t="s">
        <v>58</v>
      </c>
      <c r="C22" s="58">
        <v>560235</v>
      </c>
      <c r="D22" s="61">
        <v>683862</v>
      </c>
      <c r="E22" s="2"/>
      <c r="F22" s="2"/>
    </row>
    <row r="23" spans="1:9" ht="18.75">
      <c r="A23" s="2"/>
      <c r="B23" s="52" t="s">
        <v>59</v>
      </c>
      <c r="C23" s="57">
        <v>167052.9</v>
      </c>
      <c r="D23" s="57">
        <v>223748.2</v>
      </c>
      <c r="E23" s="2"/>
      <c r="F23" s="2"/>
    </row>
    <row r="24" spans="1:9" ht="18.75">
      <c r="A24" s="2"/>
      <c r="B24" s="52" t="s">
        <v>60</v>
      </c>
      <c r="C24" s="56">
        <v>263765.40000000002</v>
      </c>
      <c r="D24" s="60">
        <v>313866.40000000002</v>
      </c>
      <c r="E24" s="2"/>
      <c r="F24" s="2"/>
    </row>
    <row r="25" spans="1:9" ht="18.75">
      <c r="A25" s="2"/>
      <c r="B25" s="52" t="s">
        <v>61</v>
      </c>
      <c r="C25" s="57">
        <v>62145.7</v>
      </c>
      <c r="D25" s="57">
        <v>95961.1</v>
      </c>
      <c r="E25" s="2"/>
      <c r="F25" s="2"/>
    </row>
    <row r="26" spans="1:9" ht="18.75">
      <c r="A26" s="2"/>
      <c r="B26" s="52" t="s">
        <v>62</v>
      </c>
      <c r="C26" s="56">
        <v>70177.399999999994</v>
      </c>
      <c r="D26" s="60">
        <v>111761.9</v>
      </c>
      <c r="E26" s="2"/>
      <c r="F26" s="2"/>
    </row>
    <row r="27" spans="1:9" ht="18.75">
      <c r="A27" s="2"/>
      <c r="B27" s="52" t="s">
        <v>63</v>
      </c>
      <c r="C27" s="57">
        <v>35254.800000000003</v>
      </c>
      <c r="D27" s="57">
        <v>40632.5</v>
      </c>
      <c r="E27" s="2"/>
      <c r="F27" s="2"/>
    </row>
    <row r="28" spans="1:9" ht="18.75">
      <c r="A28" s="2"/>
      <c r="B28" s="52" t="s">
        <v>64</v>
      </c>
      <c r="C28" s="56">
        <v>82401.5</v>
      </c>
      <c r="D28" s="60">
        <v>92943.2</v>
      </c>
      <c r="E28" s="2"/>
      <c r="F28" s="2"/>
    </row>
    <row r="29" spans="1:9" ht="18.75">
      <c r="A29" s="2"/>
      <c r="B29" s="52" t="s">
        <v>65</v>
      </c>
      <c r="C29" s="59">
        <v>70236</v>
      </c>
      <c r="D29" s="59">
        <v>99176</v>
      </c>
      <c r="E29" s="2"/>
      <c r="F29" s="2"/>
    </row>
    <row r="30" spans="1:9" ht="18.75">
      <c r="A30" s="2"/>
      <c r="B30" s="52" t="s">
        <v>66</v>
      </c>
      <c r="C30" s="56">
        <v>180696.2</v>
      </c>
      <c r="D30" s="60">
        <v>231480.1</v>
      </c>
      <c r="E30" s="2"/>
      <c r="F30" s="2"/>
    </row>
    <row r="31" spans="1:9" ht="18.75">
      <c r="A31" s="2"/>
      <c r="B31" s="52" t="s">
        <v>96</v>
      </c>
      <c r="C31" s="57">
        <v>5176.1000000000004</v>
      </c>
      <c r="D31" s="57">
        <v>8565.4</v>
      </c>
      <c r="E31" s="2"/>
      <c r="F31" s="2"/>
    </row>
    <row r="32" spans="1:9" ht="18.75">
      <c r="A32" s="2"/>
      <c r="B32" s="52" t="s">
        <v>97</v>
      </c>
      <c r="C32" s="57">
        <v>147062.29999999999</v>
      </c>
      <c r="D32" s="57">
        <v>119917.8</v>
      </c>
      <c r="E32" s="2"/>
      <c r="F32" s="2"/>
    </row>
    <row r="33" spans="1:6" ht="18.75">
      <c r="A33" s="2"/>
      <c r="B33" s="52" t="s">
        <v>98</v>
      </c>
      <c r="C33" s="56">
        <v>370626.5</v>
      </c>
      <c r="D33" s="60">
        <v>405903.6</v>
      </c>
      <c r="E33" s="2"/>
      <c r="F33" s="2"/>
    </row>
    <row r="34" spans="1:6" ht="18.75">
      <c r="A34" s="2"/>
      <c r="B34" s="52" t="s">
        <v>99</v>
      </c>
      <c r="C34" s="56">
        <v>6498.5</v>
      </c>
      <c r="D34" s="60">
        <v>10791.2</v>
      </c>
      <c r="E34" s="2"/>
      <c r="F34" s="2"/>
    </row>
    <row r="35" spans="1:6" ht="18.75">
      <c r="A35" s="2"/>
      <c r="B35" s="52" t="s">
        <v>100</v>
      </c>
      <c r="C35" s="57">
        <v>525.79999999999995</v>
      </c>
      <c r="D35" s="57">
        <v>3081.9</v>
      </c>
      <c r="E35" s="2"/>
      <c r="F35" s="2"/>
    </row>
    <row r="36" spans="1:6" ht="18.75">
      <c r="A36" s="2"/>
      <c r="B36" s="52" t="s">
        <v>101</v>
      </c>
      <c r="C36" s="56">
        <v>6000.7</v>
      </c>
      <c r="D36" s="61">
        <v>9619</v>
      </c>
      <c r="E36" s="2"/>
      <c r="F36" s="2"/>
    </row>
    <row r="37" spans="1:6" ht="18.75">
      <c r="A37" s="2"/>
      <c r="B37" s="52" t="s">
        <v>102</v>
      </c>
      <c r="C37" s="57">
        <v>1264.2</v>
      </c>
      <c r="D37" s="57">
        <v>6776.7</v>
      </c>
      <c r="E37" s="2"/>
      <c r="F37" s="2"/>
    </row>
    <row r="38" spans="1:6" ht="18.75">
      <c r="A38" s="2"/>
      <c r="B38" s="52" t="s">
        <v>103</v>
      </c>
      <c r="C38" s="58">
        <v>21450</v>
      </c>
      <c r="D38" s="60">
        <v>33559.800000000003</v>
      </c>
      <c r="E38" s="2"/>
      <c r="F38" s="2"/>
    </row>
    <row r="39" spans="1:6" ht="18.75">
      <c r="A39" s="2"/>
      <c r="B39" s="2"/>
      <c r="C39" s="2"/>
      <c r="D39" s="2"/>
      <c r="E39" s="2"/>
      <c r="F39" s="2"/>
    </row>
    <row r="40" spans="1:6" ht="18.75">
      <c r="A40" s="2"/>
      <c r="B40" s="53" t="s">
        <v>67</v>
      </c>
      <c r="C40" s="54"/>
      <c r="D40" s="54"/>
      <c r="E40" s="54"/>
      <c r="F40" s="54"/>
    </row>
    <row r="41" spans="1:6" ht="18.75">
      <c r="A41" s="2"/>
      <c r="B41" s="55" t="s">
        <v>104</v>
      </c>
      <c r="C41" s="54"/>
      <c r="D41" s="54"/>
      <c r="E41" s="54"/>
      <c r="F41" s="54"/>
    </row>
    <row r="42" spans="1:6" ht="18.75">
      <c r="A42" s="2"/>
      <c r="B42" s="55" t="s">
        <v>105</v>
      </c>
      <c r="C42" s="54"/>
      <c r="D42" s="54"/>
      <c r="E42" s="54"/>
      <c r="F42" s="54"/>
    </row>
    <row r="43" spans="1:6" ht="18.75">
      <c r="A43" s="2"/>
      <c r="B43" s="55" t="s">
        <v>106</v>
      </c>
      <c r="C43" s="54"/>
      <c r="D43" s="54"/>
      <c r="E43" s="54"/>
      <c r="F43" s="54"/>
    </row>
    <row r="44" spans="1:6" ht="18.75">
      <c r="A44" s="2"/>
      <c r="B44" s="55" t="s">
        <v>107</v>
      </c>
      <c r="C44" s="54"/>
      <c r="D44" s="54"/>
      <c r="E44" s="54"/>
      <c r="F44" s="54"/>
    </row>
    <row r="45" spans="1:6" ht="18.75">
      <c r="A45" s="2"/>
      <c r="B45" s="55" t="s">
        <v>108</v>
      </c>
      <c r="C45" s="54"/>
      <c r="D45" s="54"/>
      <c r="E45" s="54"/>
      <c r="F45" s="54"/>
    </row>
    <row r="46" spans="1:6" ht="18.75">
      <c r="A46" s="2"/>
      <c r="B46" s="55" t="s">
        <v>109</v>
      </c>
      <c r="C46" s="54"/>
      <c r="D46" s="54"/>
      <c r="E46" s="54"/>
      <c r="F46" s="54"/>
    </row>
    <row r="47" spans="1:6" ht="18.75">
      <c r="A47" s="2"/>
      <c r="B47" s="55" t="s">
        <v>110</v>
      </c>
      <c r="C47" s="54"/>
      <c r="D47" s="54"/>
      <c r="E47" s="54"/>
      <c r="F47" s="54"/>
    </row>
    <row r="48" spans="1:6" ht="18.75">
      <c r="A48" s="2"/>
      <c r="B48" s="55" t="s">
        <v>111</v>
      </c>
      <c r="C48" s="54"/>
      <c r="D48" s="54"/>
      <c r="E48" s="54"/>
      <c r="F48" s="54"/>
    </row>
    <row r="53" spans="9:14">
      <c r="I53" t="s">
        <v>137</v>
      </c>
    </row>
    <row r="54" spans="9:14" ht="15" thickBot="1"/>
    <row r="55" spans="9:14">
      <c r="I55" s="44" t="s">
        <v>117</v>
      </c>
      <c r="J55" s="44"/>
    </row>
    <row r="56" spans="9:14">
      <c r="I56" s="25" t="s">
        <v>118</v>
      </c>
      <c r="J56" s="25">
        <v>0.98942459408844652</v>
      </c>
    </row>
    <row r="57" spans="9:14">
      <c r="I57" s="25" t="s">
        <v>119</v>
      </c>
      <c r="J57" s="25">
        <v>0.97896102738708712</v>
      </c>
    </row>
    <row r="58" spans="9:14">
      <c r="I58" s="25" t="s">
        <v>120</v>
      </c>
      <c r="J58" s="25">
        <v>0.97832348276245351</v>
      </c>
    </row>
    <row r="59" spans="9:14">
      <c r="I59" s="25" t="s">
        <v>72</v>
      </c>
      <c r="J59" s="25">
        <v>42463.86063786158</v>
      </c>
    </row>
    <row r="60" spans="9:14" ht="15" thickBot="1">
      <c r="I60" s="26" t="s">
        <v>22</v>
      </c>
      <c r="J60" s="26">
        <v>35</v>
      </c>
    </row>
    <row r="62" spans="9:14" ht="15" thickBot="1">
      <c r="I62" t="s">
        <v>121</v>
      </c>
    </row>
    <row r="63" spans="9:14">
      <c r="I63" s="27"/>
      <c r="J63" s="27" t="s">
        <v>31</v>
      </c>
      <c r="K63" s="27" t="s">
        <v>126</v>
      </c>
      <c r="L63" s="27" t="s">
        <v>127</v>
      </c>
      <c r="M63" s="27" t="s">
        <v>32</v>
      </c>
      <c r="N63" s="27" t="s">
        <v>128</v>
      </c>
    </row>
    <row r="64" spans="9:14">
      <c r="I64" s="25" t="s">
        <v>122</v>
      </c>
      <c r="J64" s="25">
        <v>1</v>
      </c>
      <c r="K64" s="25">
        <v>2768813897544.9155</v>
      </c>
      <c r="L64" s="25">
        <v>2768813897544.9155</v>
      </c>
      <c r="M64" s="25">
        <v>1535.5176556456945</v>
      </c>
      <c r="N64" s="25">
        <v>2.9761115898473111E-29</v>
      </c>
    </row>
    <row r="65" spans="9:17">
      <c r="I65" s="25" t="s">
        <v>123</v>
      </c>
      <c r="J65" s="25">
        <v>33</v>
      </c>
      <c r="K65" s="25">
        <v>59504922188.967087</v>
      </c>
      <c r="L65" s="25">
        <v>1803179460.2717299</v>
      </c>
      <c r="M65" s="25"/>
      <c r="N65" s="25"/>
    </row>
    <row r="66" spans="9:17" ht="15" thickBot="1">
      <c r="I66" s="26" t="s">
        <v>124</v>
      </c>
      <c r="J66" s="26">
        <v>34</v>
      </c>
      <c r="K66" s="26">
        <v>2828318819733.8828</v>
      </c>
      <c r="L66" s="26"/>
      <c r="M66" s="26"/>
      <c r="N66" s="26"/>
    </row>
    <row r="67" spans="9:17" ht="15" thickBot="1"/>
    <row r="68" spans="9:17">
      <c r="I68" s="27"/>
      <c r="J68" s="27" t="s">
        <v>129</v>
      </c>
      <c r="K68" s="27" t="s">
        <v>72</v>
      </c>
      <c r="L68" s="27" t="s">
        <v>130</v>
      </c>
      <c r="M68" s="27" t="s">
        <v>131</v>
      </c>
      <c r="N68" s="27" t="s">
        <v>132</v>
      </c>
      <c r="O68" s="27" t="s">
        <v>133</v>
      </c>
      <c r="P68" s="27" t="s">
        <v>134</v>
      </c>
      <c r="Q68" s="27" t="s">
        <v>135</v>
      </c>
    </row>
    <row r="69" spans="9:17">
      <c r="I69" s="25" t="s">
        <v>125</v>
      </c>
      <c r="J69" s="25">
        <v>17875.491045989271</v>
      </c>
      <c r="K69" s="25">
        <v>8702.3649938739964</v>
      </c>
      <c r="L69" s="25">
        <v>2.0540957611606347</v>
      </c>
      <c r="M69" s="25">
        <v>4.795764137998669E-2</v>
      </c>
      <c r="N69" s="25">
        <v>170.39634196499537</v>
      </c>
      <c r="O69" s="25">
        <v>35580.585750013546</v>
      </c>
      <c r="P69" s="25">
        <v>170.39634196499537</v>
      </c>
      <c r="Q69" s="25">
        <v>35580.585750013546</v>
      </c>
    </row>
    <row r="70" spans="9:17" ht="15" thickBot="1">
      <c r="I70" s="26" t="s">
        <v>136</v>
      </c>
      <c r="J70" s="26">
        <v>1.1660997798076662</v>
      </c>
      <c r="K70" s="26">
        <v>2.9758312913960912E-2</v>
      </c>
      <c r="L70" s="26">
        <v>39.185681768289975</v>
      </c>
      <c r="M70" s="62">
        <v>2.9761115898473744E-29</v>
      </c>
      <c r="N70" s="26">
        <v>1.1055560369579285</v>
      </c>
      <c r="O70" s="26">
        <v>1.226643522657404</v>
      </c>
      <c r="P70" s="26">
        <v>1.1055560369579285</v>
      </c>
      <c r="Q70" s="26">
        <v>1.226643522657404</v>
      </c>
    </row>
    <row r="85" spans="2:3">
      <c r="B85" t="s">
        <v>138</v>
      </c>
      <c r="C85" s="25">
        <v>0.97896102738708712</v>
      </c>
    </row>
    <row r="86" spans="2:3">
      <c r="B86" t="s">
        <v>140</v>
      </c>
      <c r="C86" s="25">
        <v>0.98942459408844652</v>
      </c>
    </row>
    <row r="87" spans="2:3">
      <c r="B87" t="s">
        <v>139</v>
      </c>
      <c r="C87">
        <f>_xlfn.COVARIANCE.S(C4:C38,D4:D38)</f>
        <v>69835964536.756775</v>
      </c>
    </row>
    <row r="136" spans="2:3">
      <c r="B136" t="s">
        <v>159</v>
      </c>
      <c r="C136">
        <v>6500500</v>
      </c>
    </row>
    <row r="137" spans="2:3">
      <c r="B137" t="s">
        <v>158</v>
      </c>
      <c r="C137">
        <f>_xlfn.FORECAST.LINEAR(6500500,C5:C39,D5:D39)</f>
        <v>5458854.0340703372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FFD0"/>
  </sheetPr>
  <dimension ref="A1:L112"/>
  <sheetViews>
    <sheetView topLeftCell="A70" workbookViewId="0">
      <selection activeCell="D90" sqref="D90"/>
    </sheetView>
  </sheetViews>
  <sheetFormatPr defaultColWidth="12.125" defaultRowHeight="18.75"/>
  <cols>
    <col min="1" max="1" width="17.625" style="66" customWidth="1"/>
    <col min="2" max="2" width="37.5" style="65" customWidth="1"/>
    <col min="3" max="3" width="20.75" style="65" customWidth="1"/>
    <col min="4" max="4" width="42.875" style="65" customWidth="1"/>
    <col min="5" max="5" width="31.5" style="65" customWidth="1"/>
    <col min="6" max="6" width="32.25" style="65" customWidth="1"/>
    <col min="7" max="8" width="12.125" style="65"/>
    <col min="9" max="9" width="13.5" style="65" customWidth="1"/>
    <col min="10" max="16384" width="12.125" style="65"/>
  </cols>
  <sheetData>
    <row r="1" spans="1:8" ht="45.95" customHeight="1">
      <c r="B1" s="119" t="s">
        <v>157</v>
      </c>
      <c r="C1" s="118" t="s">
        <v>156</v>
      </c>
      <c r="D1" s="118"/>
      <c r="E1" s="117" t="s">
        <v>155</v>
      </c>
      <c r="F1" s="111"/>
      <c r="G1" s="111"/>
    </row>
    <row r="2" spans="1:8" ht="20.25">
      <c r="B2" s="114" t="s">
        <v>154</v>
      </c>
      <c r="C2" s="116" t="s">
        <v>151</v>
      </c>
      <c r="D2" s="116"/>
      <c r="E2" s="115">
        <v>0.3</v>
      </c>
      <c r="F2" s="111" t="s">
        <v>153</v>
      </c>
      <c r="G2" s="111"/>
    </row>
    <row r="3" spans="1:8" ht="30" customHeight="1">
      <c r="B3" s="114" t="s">
        <v>152</v>
      </c>
      <c r="C3" s="116" t="s">
        <v>151</v>
      </c>
      <c r="D3" s="116"/>
      <c r="E3" s="115">
        <v>0.7</v>
      </c>
      <c r="F3" s="111" t="s">
        <v>150</v>
      </c>
      <c r="G3" s="111"/>
    </row>
    <row r="4" spans="1:8" ht="30.95" customHeight="1">
      <c r="B4" s="114" t="s">
        <v>149</v>
      </c>
      <c r="C4" s="113" t="s">
        <v>148</v>
      </c>
      <c r="D4" s="113"/>
      <c r="E4" s="112" t="s">
        <v>147</v>
      </c>
      <c r="F4" s="111"/>
      <c r="G4" s="111"/>
    </row>
    <row r="6" spans="1:8" s="92" customFormat="1" ht="24.95" customHeight="1">
      <c r="A6" s="104"/>
      <c r="B6" s="110" t="s">
        <v>146</v>
      </c>
      <c r="C6" s="109"/>
      <c r="D6" s="108"/>
    </row>
    <row r="7" spans="1:8" s="92" customFormat="1" ht="38.1" customHeight="1">
      <c r="A7" s="68" t="s">
        <v>145</v>
      </c>
      <c r="B7" s="107" t="s">
        <v>144</v>
      </c>
      <c r="C7" s="106"/>
      <c r="D7" s="106"/>
      <c r="E7" s="106"/>
      <c r="F7" s="105"/>
      <c r="G7" s="105"/>
      <c r="H7" s="105"/>
    </row>
    <row r="8" spans="1:8" s="92" customFormat="1" ht="20.100000000000001" customHeight="1">
      <c r="A8" s="104"/>
    </row>
    <row r="9" spans="1:8" ht="27.95" customHeight="1">
      <c r="B9" s="103" t="s">
        <v>143</v>
      </c>
      <c r="C9" s="103"/>
      <c r="D9" s="103"/>
    </row>
    <row r="12" spans="1:8" s="100" customFormat="1" ht="27.95" customHeight="1">
      <c r="A12" s="86" t="s">
        <v>0</v>
      </c>
      <c r="B12" s="102" t="s">
        <v>1</v>
      </c>
      <c r="C12" s="101"/>
      <c r="D12" s="101"/>
      <c r="E12" s="101"/>
      <c r="F12" s="101"/>
    </row>
    <row r="13" spans="1:8">
      <c r="A13" s="94"/>
      <c r="B13" s="99" t="s">
        <v>2</v>
      </c>
      <c r="C13" s="92"/>
      <c r="D13" s="92"/>
      <c r="E13" s="92"/>
      <c r="F13" s="92"/>
    </row>
    <row r="14" spans="1:8">
      <c r="A14" s="94"/>
      <c r="B14" s="92"/>
      <c r="C14" s="92"/>
      <c r="D14" s="92"/>
      <c r="E14" s="92"/>
      <c r="F14" s="92"/>
    </row>
    <row r="15" spans="1:8">
      <c r="A15" s="96" t="s">
        <v>3</v>
      </c>
      <c r="B15" s="98" t="s">
        <v>4</v>
      </c>
      <c r="C15" s="92"/>
      <c r="D15" s="92"/>
      <c r="E15" s="92"/>
      <c r="F15" s="92"/>
    </row>
    <row r="16" spans="1:8">
      <c r="A16" s="96"/>
      <c r="B16" s="98" t="s">
        <v>5</v>
      </c>
      <c r="C16" s="92"/>
      <c r="D16" s="92"/>
      <c r="E16" s="92"/>
      <c r="F16" s="92"/>
    </row>
    <row r="17" spans="1:10">
      <c r="A17" s="96"/>
      <c r="B17" s="98" t="s">
        <v>6</v>
      </c>
      <c r="C17" s="92"/>
      <c r="D17" s="92"/>
      <c r="E17" s="92"/>
      <c r="F17" s="92"/>
    </row>
    <row r="18" spans="1:10">
      <c r="A18" s="96"/>
      <c r="B18" s="93" t="s">
        <v>7</v>
      </c>
      <c r="C18" s="92"/>
      <c r="D18" s="92"/>
      <c r="E18" s="92"/>
      <c r="F18" s="92"/>
    </row>
    <row r="19" spans="1:10">
      <c r="A19" s="96"/>
      <c r="B19" s="93" t="s">
        <v>8</v>
      </c>
      <c r="C19" s="92"/>
      <c r="D19" s="92"/>
      <c r="E19" s="92"/>
      <c r="F19" s="92"/>
    </row>
    <row r="20" spans="1:10">
      <c r="A20" s="96" t="s">
        <v>3</v>
      </c>
      <c r="B20" s="97" t="s">
        <v>9</v>
      </c>
      <c r="C20" s="92"/>
      <c r="D20" s="92"/>
      <c r="E20" s="92"/>
      <c r="F20" s="92"/>
    </row>
    <row r="21" spans="1:10">
      <c r="A21" s="96"/>
      <c r="B21" s="95" t="s">
        <v>10</v>
      </c>
      <c r="C21" s="92"/>
      <c r="D21" s="92"/>
      <c r="E21" s="92"/>
      <c r="F21" s="92"/>
    </row>
    <row r="22" spans="1:10">
      <c r="A22" s="94"/>
      <c r="B22" s="95" t="s">
        <v>11</v>
      </c>
      <c r="C22" s="92"/>
      <c r="D22" s="92"/>
      <c r="E22" s="92"/>
      <c r="F22" s="92"/>
    </row>
    <row r="23" spans="1:10">
      <c r="A23" s="94"/>
      <c r="B23" s="93" t="s">
        <v>12</v>
      </c>
      <c r="C23" s="92"/>
      <c r="D23" s="92"/>
      <c r="E23" s="92"/>
      <c r="F23" s="92"/>
    </row>
    <row r="24" spans="1:10">
      <c r="A24" s="94"/>
      <c r="B24" s="93" t="s">
        <v>8</v>
      </c>
      <c r="C24" s="92"/>
      <c r="D24" s="92"/>
      <c r="E24" s="92"/>
      <c r="F24" s="92"/>
    </row>
    <row r="27" spans="1:10">
      <c r="A27" s="86" t="s">
        <v>35</v>
      </c>
      <c r="B27" s="91" t="s">
        <v>36</v>
      </c>
      <c r="C27" s="90"/>
      <c r="D27" s="90"/>
      <c r="E27" s="90"/>
      <c r="F27" s="90"/>
      <c r="G27" s="90"/>
      <c r="H27" s="90"/>
      <c r="I27" s="90"/>
      <c r="J27" s="90"/>
    </row>
    <row r="28" spans="1:10">
      <c r="A28" s="68" t="s">
        <v>37</v>
      </c>
      <c r="B28" s="32" t="s">
        <v>38</v>
      </c>
      <c r="C28" s="89" t="s">
        <v>39</v>
      </c>
    </row>
    <row r="29" spans="1:10">
      <c r="A29" s="65"/>
      <c r="B29" s="33" t="s">
        <v>40</v>
      </c>
      <c r="C29" s="34"/>
    </row>
    <row r="30" spans="1:10">
      <c r="A30" s="65"/>
      <c r="B30" s="33" t="s">
        <v>41</v>
      </c>
      <c r="C30" s="34"/>
    </row>
    <row r="31" spans="1:10">
      <c r="A31" s="65"/>
      <c r="B31" s="33" t="s">
        <v>42</v>
      </c>
      <c r="C31" s="34"/>
    </row>
    <row r="32" spans="1:10">
      <c r="A32" s="65"/>
      <c r="B32" s="33" t="s">
        <v>43</v>
      </c>
      <c r="C32" s="34"/>
    </row>
    <row r="33" spans="1:3">
      <c r="A33" s="65"/>
      <c r="B33" s="33" t="s">
        <v>44</v>
      </c>
      <c r="C33" s="34"/>
    </row>
    <row r="34" spans="1:3">
      <c r="A34" s="65"/>
      <c r="B34" s="33" t="s">
        <v>45</v>
      </c>
      <c r="C34" s="34"/>
    </row>
    <row r="35" spans="1:3">
      <c r="A35" s="65"/>
      <c r="B35" s="33" t="s">
        <v>46</v>
      </c>
      <c r="C35" s="34"/>
    </row>
    <row r="36" spans="1:3">
      <c r="A36" s="65"/>
      <c r="B36" s="33" t="s">
        <v>47</v>
      </c>
      <c r="C36" s="34"/>
    </row>
    <row r="37" spans="1:3">
      <c r="A37" s="65"/>
      <c r="B37" s="33" t="s">
        <v>48</v>
      </c>
      <c r="C37" s="34"/>
    </row>
    <row r="38" spans="1:3">
      <c r="A38" s="65"/>
      <c r="B38" s="33" t="s">
        <v>49</v>
      </c>
      <c r="C38" s="34"/>
    </row>
    <row r="39" spans="1:3">
      <c r="A39" s="65"/>
      <c r="B39" s="33" t="s">
        <v>50</v>
      </c>
      <c r="C39" s="34"/>
    </row>
    <row r="40" spans="1:3">
      <c r="A40" s="65"/>
      <c r="B40" s="33" t="s">
        <v>51</v>
      </c>
      <c r="C40" s="34"/>
    </row>
    <row r="41" spans="1:3">
      <c r="A41" s="65"/>
      <c r="B41" s="33" t="s">
        <v>52</v>
      </c>
      <c r="C41" s="34"/>
    </row>
    <row r="42" spans="1:3">
      <c r="A42" s="65"/>
      <c r="B42" s="33" t="s">
        <v>53</v>
      </c>
      <c r="C42" s="34"/>
    </row>
    <row r="43" spans="1:3">
      <c r="A43" s="65"/>
      <c r="B43" s="33" t="s">
        <v>54</v>
      </c>
      <c r="C43" s="34"/>
    </row>
    <row r="44" spans="1:3">
      <c r="A44" s="65"/>
      <c r="B44" s="33" t="s">
        <v>55</v>
      </c>
      <c r="C44" s="34"/>
    </row>
    <row r="45" spans="1:3">
      <c r="A45" s="65"/>
      <c r="B45" s="33" t="s">
        <v>56</v>
      </c>
      <c r="C45" s="34"/>
    </row>
    <row r="46" spans="1:3">
      <c r="A46" s="65"/>
      <c r="B46" s="33" t="s">
        <v>57</v>
      </c>
      <c r="C46" s="34"/>
    </row>
    <row r="47" spans="1:3">
      <c r="A47" s="65"/>
      <c r="B47" s="33" t="s">
        <v>58</v>
      </c>
      <c r="C47" s="34"/>
    </row>
    <row r="48" spans="1:3">
      <c r="A48" s="65"/>
      <c r="B48" s="33" t="s">
        <v>59</v>
      </c>
      <c r="C48" s="34"/>
    </row>
    <row r="49" spans="1:12">
      <c r="A49" s="65"/>
      <c r="B49" s="33" t="s">
        <v>60</v>
      </c>
      <c r="C49" s="34"/>
    </row>
    <row r="50" spans="1:12">
      <c r="A50" s="65"/>
      <c r="B50" s="33" t="s">
        <v>61</v>
      </c>
      <c r="C50" s="34"/>
    </row>
    <row r="51" spans="1:12">
      <c r="A51" s="65"/>
      <c r="B51" s="33" t="s">
        <v>62</v>
      </c>
      <c r="C51" s="34"/>
    </row>
    <row r="52" spans="1:12">
      <c r="A52" s="65"/>
      <c r="B52" s="33" t="s">
        <v>63</v>
      </c>
      <c r="C52" s="34"/>
    </row>
    <row r="53" spans="1:12">
      <c r="A53" s="65"/>
      <c r="B53" s="33" t="s">
        <v>64</v>
      </c>
      <c r="C53" s="34"/>
    </row>
    <row r="54" spans="1:12">
      <c r="A54" s="65"/>
      <c r="B54" s="33" t="s">
        <v>65</v>
      </c>
      <c r="C54" s="34"/>
    </row>
    <row r="55" spans="1:12">
      <c r="A55" s="65"/>
      <c r="B55" s="33" t="s">
        <v>66</v>
      </c>
      <c r="C55" s="34"/>
    </row>
    <row r="56" spans="1:12">
      <c r="A56" s="65"/>
      <c r="B56" s="88"/>
      <c r="C56" s="88"/>
    </row>
    <row r="57" spans="1:12">
      <c r="A57" s="65"/>
      <c r="B57" s="87" t="s">
        <v>67</v>
      </c>
    </row>
    <row r="58" spans="1:12">
      <c r="A58" s="65"/>
      <c r="B58" s="87" t="s">
        <v>68</v>
      </c>
    </row>
    <row r="59" spans="1:12">
      <c r="A59" s="65"/>
      <c r="B59" s="87" t="s">
        <v>69</v>
      </c>
    </row>
    <row r="60" spans="1:12">
      <c r="A60" s="65"/>
      <c r="B60" s="87" t="s">
        <v>70</v>
      </c>
    </row>
    <row r="61" spans="1:12">
      <c r="A61" s="65"/>
      <c r="B61" s="87" t="s">
        <v>71</v>
      </c>
    </row>
    <row r="62" spans="1:12">
      <c r="A62" s="65"/>
    </row>
    <row r="63" spans="1:12">
      <c r="A63" s="86" t="s">
        <v>90</v>
      </c>
      <c r="B63" s="85" t="s">
        <v>91</v>
      </c>
      <c r="C63" s="84"/>
      <c r="D63" s="84"/>
      <c r="E63" s="84"/>
      <c r="F63" s="84"/>
      <c r="G63" s="84"/>
      <c r="H63" s="84"/>
      <c r="I63" s="84"/>
      <c r="J63" s="84"/>
      <c r="K63" s="84"/>
      <c r="L63" s="84"/>
    </row>
    <row r="64" spans="1:12">
      <c r="A64" s="65"/>
      <c r="B64" s="83" t="s">
        <v>92</v>
      </c>
      <c r="C64" s="82" t="s">
        <v>93</v>
      </c>
      <c r="D64" s="81" t="s">
        <v>94</v>
      </c>
    </row>
    <row r="65" spans="1:4">
      <c r="A65" s="65"/>
      <c r="B65" s="80" t="s">
        <v>38</v>
      </c>
      <c r="C65" s="80"/>
      <c r="D65" s="79"/>
    </row>
    <row r="66" spans="1:4">
      <c r="A66" s="68" t="s">
        <v>95</v>
      </c>
      <c r="B66" s="74" t="s">
        <v>40</v>
      </c>
      <c r="C66" s="73"/>
      <c r="D66" s="72"/>
    </row>
    <row r="67" spans="1:4">
      <c r="A67" s="65"/>
      <c r="B67" s="74" t="s">
        <v>41</v>
      </c>
      <c r="C67" s="75"/>
      <c r="D67" s="75"/>
    </row>
    <row r="68" spans="1:4">
      <c r="A68" s="65"/>
      <c r="B68" s="74" t="s">
        <v>42</v>
      </c>
      <c r="C68" s="73"/>
      <c r="D68" s="72"/>
    </row>
    <row r="69" spans="1:4">
      <c r="A69" s="65"/>
      <c r="B69" s="74" t="s">
        <v>43</v>
      </c>
      <c r="C69" s="75"/>
      <c r="D69" s="75"/>
    </row>
    <row r="70" spans="1:4">
      <c r="A70" s="65"/>
      <c r="B70" s="74" t="s">
        <v>44</v>
      </c>
      <c r="C70" s="77"/>
      <c r="D70" s="78"/>
    </row>
    <row r="71" spans="1:4">
      <c r="A71" s="65"/>
      <c r="B71" s="74" t="s">
        <v>45</v>
      </c>
      <c r="C71" s="75"/>
      <c r="D71" s="75"/>
    </row>
    <row r="72" spans="1:4">
      <c r="A72" s="65"/>
      <c r="B72" s="74" t="s">
        <v>46</v>
      </c>
      <c r="C72" s="73"/>
      <c r="D72" s="72"/>
    </row>
    <row r="73" spans="1:4">
      <c r="A73" s="65"/>
      <c r="B73" s="74" t="s">
        <v>47</v>
      </c>
      <c r="C73" s="75"/>
      <c r="D73" s="75"/>
    </row>
    <row r="74" spans="1:4">
      <c r="A74" s="65"/>
      <c r="B74" s="74" t="s">
        <v>48</v>
      </c>
      <c r="C74" s="77"/>
      <c r="D74" s="78"/>
    </row>
    <row r="75" spans="1:4">
      <c r="A75" s="65"/>
      <c r="B75" s="74" t="s">
        <v>49</v>
      </c>
      <c r="C75" s="76"/>
      <c r="D75" s="76"/>
    </row>
    <row r="76" spans="1:4">
      <c r="A76" s="65"/>
      <c r="B76" s="74" t="s">
        <v>50</v>
      </c>
      <c r="C76" s="73"/>
      <c r="D76" s="72"/>
    </row>
    <row r="77" spans="1:4">
      <c r="A77" s="65"/>
      <c r="B77" s="74" t="s">
        <v>51</v>
      </c>
      <c r="C77" s="75"/>
      <c r="D77" s="75"/>
    </row>
    <row r="78" spans="1:4">
      <c r="A78" s="65"/>
      <c r="B78" s="74" t="s">
        <v>52</v>
      </c>
      <c r="C78" s="73"/>
      <c r="D78" s="72"/>
    </row>
    <row r="79" spans="1:4">
      <c r="A79" s="65"/>
      <c r="B79" s="74" t="s">
        <v>53</v>
      </c>
      <c r="C79" s="75"/>
      <c r="D79" s="75"/>
    </row>
    <row r="80" spans="1:4">
      <c r="A80" s="65"/>
      <c r="B80" s="74" t="s">
        <v>54</v>
      </c>
      <c r="C80" s="73"/>
      <c r="D80" s="72"/>
    </row>
    <row r="81" spans="1:4">
      <c r="A81" s="65"/>
      <c r="B81" s="74" t="s">
        <v>55</v>
      </c>
      <c r="C81" s="75"/>
      <c r="D81" s="75"/>
    </row>
    <row r="82" spans="1:4">
      <c r="A82" s="65"/>
      <c r="B82" s="74" t="s">
        <v>56</v>
      </c>
      <c r="C82" s="73"/>
      <c r="D82" s="72"/>
    </row>
    <row r="83" spans="1:4">
      <c r="A83" s="65"/>
      <c r="B83" s="74" t="s">
        <v>57</v>
      </c>
      <c r="C83" s="75"/>
      <c r="D83" s="75"/>
    </row>
    <row r="84" spans="1:4">
      <c r="A84" s="65"/>
      <c r="B84" s="74" t="s">
        <v>58</v>
      </c>
      <c r="C84" s="77"/>
      <c r="D84" s="78"/>
    </row>
    <row r="85" spans="1:4">
      <c r="A85" s="65"/>
      <c r="B85" s="74" t="s">
        <v>59</v>
      </c>
      <c r="C85" s="76"/>
      <c r="D85" s="75"/>
    </row>
    <row r="86" spans="1:4">
      <c r="A86" s="65"/>
      <c r="B86" s="74" t="s">
        <v>60</v>
      </c>
      <c r="C86" s="73"/>
      <c r="D86" s="72"/>
    </row>
    <row r="87" spans="1:4">
      <c r="A87" s="65"/>
      <c r="B87" s="74" t="s">
        <v>61</v>
      </c>
      <c r="C87" s="75"/>
      <c r="D87" s="75"/>
    </row>
    <row r="88" spans="1:4">
      <c r="A88" s="65"/>
      <c r="B88" s="74" t="s">
        <v>62</v>
      </c>
      <c r="C88" s="77"/>
      <c r="D88" s="72"/>
    </row>
    <row r="89" spans="1:4">
      <c r="A89" s="65"/>
      <c r="B89" s="74" t="s">
        <v>63</v>
      </c>
      <c r="C89" s="75"/>
      <c r="D89" s="75"/>
    </row>
    <row r="90" spans="1:4">
      <c r="A90" s="65"/>
      <c r="B90" s="74" t="s">
        <v>64</v>
      </c>
      <c r="C90" s="73"/>
      <c r="D90" s="72"/>
    </row>
    <row r="91" spans="1:4">
      <c r="A91" s="65"/>
      <c r="B91" s="74" t="s">
        <v>65</v>
      </c>
      <c r="C91" s="76"/>
      <c r="D91" s="76"/>
    </row>
    <row r="92" spans="1:4">
      <c r="A92" s="65"/>
      <c r="B92" s="74" t="s">
        <v>66</v>
      </c>
      <c r="C92" s="73"/>
      <c r="D92" s="72"/>
    </row>
    <row r="93" spans="1:4">
      <c r="A93" s="65"/>
      <c r="B93" s="74" t="s">
        <v>96</v>
      </c>
      <c r="C93" s="75"/>
      <c r="D93" s="75"/>
    </row>
    <row r="94" spans="1:4">
      <c r="A94" s="65"/>
      <c r="B94" s="74" t="s">
        <v>97</v>
      </c>
      <c r="C94" s="75"/>
      <c r="D94" s="75"/>
    </row>
    <row r="95" spans="1:4">
      <c r="A95" s="65"/>
      <c r="B95" s="74" t="s">
        <v>98</v>
      </c>
      <c r="C95" s="73"/>
      <c r="D95" s="72"/>
    </row>
    <row r="96" spans="1:4">
      <c r="A96" s="65"/>
      <c r="B96" s="74" t="s">
        <v>99</v>
      </c>
      <c r="C96" s="73"/>
      <c r="D96" s="72"/>
    </row>
    <row r="97" spans="1:11">
      <c r="A97" s="65"/>
      <c r="B97" s="74" t="s">
        <v>100</v>
      </c>
      <c r="C97" s="75"/>
      <c r="D97" s="75"/>
    </row>
    <row r="98" spans="1:11">
      <c r="A98" s="65"/>
      <c r="B98" s="74" t="s">
        <v>101</v>
      </c>
      <c r="C98" s="73"/>
      <c r="D98" s="72"/>
    </row>
    <row r="99" spans="1:11">
      <c r="A99" s="65"/>
      <c r="B99" s="74" t="s">
        <v>102</v>
      </c>
      <c r="C99" s="75"/>
      <c r="D99" s="75"/>
    </row>
    <row r="100" spans="1:11">
      <c r="A100" s="65"/>
      <c r="B100" s="74" t="s">
        <v>103</v>
      </c>
      <c r="C100" s="73"/>
      <c r="D100" s="72"/>
    </row>
    <row r="101" spans="1:11">
      <c r="A101" s="65"/>
    </row>
    <row r="102" spans="1:11">
      <c r="A102" s="65"/>
      <c r="B102" s="71" t="s">
        <v>67</v>
      </c>
      <c r="C102" s="69"/>
      <c r="D102" s="69"/>
      <c r="E102" s="69"/>
      <c r="F102" s="69"/>
      <c r="G102" s="69"/>
      <c r="H102" s="69"/>
      <c r="I102" s="69"/>
      <c r="J102" s="69"/>
      <c r="K102" s="69"/>
    </row>
    <row r="103" spans="1:11">
      <c r="A103" s="65"/>
      <c r="B103" s="70" t="s">
        <v>104</v>
      </c>
      <c r="C103" s="69"/>
      <c r="D103" s="69"/>
      <c r="E103" s="69"/>
      <c r="F103" s="69"/>
      <c r="G103" s="69"/>
      <c r="H103" s="69"/>
      <c r="I103" s="69"/>
      <c r="J103" s="69"/>
      <c r="K103" s="69"/>
    </row>
    <row r="104" spans="1:11">
      <c r="A104" s="65"/>
      <c r="B104" s="70" t="s">
        <v>105</v>
      </c>
      <c r="C104" s="69"/>
      <c r="D104" s="69"/>
      <c r="E104" s="69"/>
      <c r="F104" s="69"/>
      <c r="G104" s="69"/>
      <c r="H104" s="69"/>
      <c r="I104" s="69"/>
      <c r="J104" s="69"/>
      <c r="K104" s="69"/>
    </row>
    <row r="105" spans="1:11">
      <c r="A105" s="65"/>
      <c r="B105" s="70" t="s">
        <v>106</v>
      </c>
      <c r="C105" s="69"/>
      <c r="D105" s="69"/>
      <c r="E105" s="69"/>
      <c r="F105" s="69"/>
      <c r="G105" s="69"/>
      <c r="H105" s="69"/>
      <c r="I105" s="69"/>
      <c r="J105" s="69"/>
      <c r="K105" s="69"/>
    </row>
    <row r="106" spans="1:11">
      <c r="A106" s="65"/>
      <c r="B106" s="70" t="s">
        <v>107</v>
      </c>
      <c r="C106" s="69"/>
      <c r="D106" s="69"/>
      <c r="E106" s="69"/>
      <c r="F106" s="69"/>
      <c r="G106" s="69"/>
      <c r="H106" s="69"/>
      <c r="I106" s="69"/>
      <c r="J106" s="69"/>
      <c r="K106" s="69"/>
    </row>
    <row r="107" spans="1:11">
      <c r="A107" s="65"/>
      <c r="B107" s="70" t="s">
        <v>108</v>
      </c>
      <c r="C107" s="69"/>
      <c r="D107" s="69"/>
      <c r="E107" s="69"/>
      <c r="F107" s="69"/>
      <c r="G107" s="69"/>
      <c r="H107" s="69"/>
      <c r="I107" s="69"/>
      <c r="J107" s="69"/>
      <c r="K107" s="69"/>
    </row>
    <row r="108" spans="1:11">
      <c r="A108" s="65"/>
      <c r="B108" s="70" t="s">
        <v>109</v>
      </c>
      <c r="C108" s="69"/>
      <c r="D108" s="69"/>
      <c r="E108" s="69"/>
      <c r="F108" s="69"/>
      <c r="G108" s="69"/>
      <c r="H108" s="69"/>
      <c r="I108" s="69"/>
      <c r="J108" s="69"/>
      <c r="K108" s="69"/>
    </row>
    <row r="109" spans="1:11">
      <c r="A109" s="65"/>
      <c r="B109" s="70" t="s">
        <v>110</v>
      </c>
      <c r="C109" s="69"/>
      <c r="D109" s="69"/>
      <c r="E109" s="69"/>
      <c r="F109" s="69"/>
      <c r="G109" s="69"/>
      <c r="H109" s="69"/>
      <c r="I109" s="69"/>
      <c r="J109" s="69"/>
      <c r="K109" s="69"/>
    </row>
    <row r="110" spans="1:11">
      <c r="A110" s="65"/>
      <c r="B110" s="70" t="s">
        <v>111</v>
      </c>
      <c r="C110" s="69"/>
      <c r="D110" s="69"/>
      <c r="E110" s="69"/>
      <c r="F110" s="69"/>
      <c r="G110" s="69"/>
      <c r="H110" s="69"/>
      <c r="I110" s="69"/>
      <c r="J110" s="69"/>
      <c r="K110" s="69"/>
    </row>
    <row r="112" spans="1:11">
      <c r="A112" s="68" t="s">
        <v>142</v>
      </c>
      <c r="B112" s="67" t="s">
        <v>141</v>
      </c>
    </row>
  </sheetData>
  <mergeCells count="7">
    <mergeCell ref="C1:D1"/>
    <mergeCell ref="C2:D2"/>
    <mergeCell ref="C3:D3"/>
    <mergeCell ref="C4:D4"/>
    <mergeCell ref="B9:D9"/>
    <mergeCell ref="B6:D6"/>
    <mergeCell ref="B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SUBIECT 1</vt:lpstr>
      <vt:lpstr>Aplicatia 1</vt:lpstr>
      <vt:lpstr>Aplicatia 2</vt:lpstr>
      <vt:lpstr>Aplicatia 3</vt:lpstr>
      <vt:lpstr>Bilet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stud</cp:lastModifiedBy>
  <dcterms:created xsi:type="dcterms:W3CDTF">2026-05-04T18:13:49Z</dcterms:created>
  <dcterms:modified xsi:type="dcterms:W3CDTF">2026-06-16T06:03:39Z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11a68ba94f0a4ca5a1098cf9880b9544</vt:lpwstr>
  </property>
</Properties>
</file>